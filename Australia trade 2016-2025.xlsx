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0"/>
  <workbookPr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0C710A3E-C8A5-404E-B4EA-C74ECB1C8C73}" xr6:coauthVersionLast="47" xr6:coauthVersionMax="47" xr10:uidLastSave="{00000000-0000-0000-0000-000000000000}"/>
  <bookViews>
    <workbookView xWindow="0" yWindow="740" windowWidth="30240" windowHeight="18900" tabRatio="716" firstSheet="1" activeTab="8" xr2:uid="{00000000-000D-0000-FFFF-FFFF00000000}"/>
  </bookViews>
  <sheets>
    <sheet name="Export-dataset" sheetId="1" r:id="rId1"/>
    <sheet name="Import-dataset" sheetId="2" r:id="rId2"/>
    <sheet name="Export statistical pattern" sheetId="3" r:id="rId3"/>
    <sheet name="Import statistical pattern" sheetId="4" r:id="rId4"/>
    <sheet name="Export Analytical pattern" sheetId="6" r:id="rId5"/>
    <sheet name="Import analytical pattern" sheetId="7" r:id="rId6"/>
    <sheet name="Dollar-combined" sheetId="8" r:id="rId7"/>
    <sheet name="Statistical-Combined" sheetId="9" r:id="rId8"/>
    <sheet name="Analytical-Combined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7" l="1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AJ3" i="7"/>
  <c r="AK3" i="7"/>
  <c r="AL3" i="7"/>
  <c r="AM3" i="7"/>
  <c r="AN3" i="7"/>
  <c r="AO3" i="7"/>
  <c r="AP3" i="7"/>
  <c r="AQ3" i="7"/>
  <c r="AR3" i="7"/>
  <c r="AS3" i="7"/>
  <c r="AT3" i="7"/>
  <c r="AU3" i="7"/>
  <c r="AV3" i="7"/>
  <c r="AW3" i="7"/>
  <c r="AX3" i="7"/>
  <c r="AY3" i="7"/>
  <c r="AZ3" i="7"/>
  <c r="BA3" i="7"/>
  <c r="BB3" i="7"/>
  <c r="BC3" i="7"/>
  <c r="BD3" i="7"/>
  <c r="BE3" i="7"/>
  <c r="BF3" i="7"/>
  <c r="BG3" i="7"/>
  <c r="BH3" i="7"/>
  <c r="BI3" i="7"/>
  <c r="BJ3" i="7"/>
  <c r="BK3" i="7"/>
  <c r="BL3" i="7"/>
  <c r="BM3" i="7"/>
  <c r="BN3" i="7"/>
  <c r="BO3" i="7"/>
  <c r="BP3" i="7"/>
  <c r="BQ3" i="7"/>
  <c r="BR3" i="7"/>
  <c r="BS3" i="7"/>
  <c r="BT3" i="7"/>
  <c r="BU3" i="7"/>
  <c r="BV3" i="7"/>
  <c r="BW3" i="7"/>
  <c r="BX3" i="7"/>
  <c r="BY3" i="7"/>
  <c r="BZ3" i="7"/>
  <c r="CA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AX4" i="7"/>
  <c r="AY4" i="7"/>
  <c r="AZ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T4" i="7"/>
  <c r="BU4" i="7"/>
  <c r="BV4" i="7"/>
  <c r="BW4" i="7"/>
  <c r="BX4" i="7"/>
  <c r="BY4" i="7"/>
  <c r="BZ4" i="7"/>
  <c r="CA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AJ5" i="7"/>
  <c r="AK5" i="7"/>
  <c r="AL5" i="7"/>
  <c r="AM5" i="7"/>
  <c r="AN5" i="7"/>
  <c r="AO5" i="7"/>
  <c r="AP5" i="7"/>
  <c r="AQ5" i="7"/>
  <c r="AR5" i="7"/>
  <c r="AS5" i="7"/>
  <c r="AT5" i="7"/>
  <c r="AU5" i="7"/>
  <c r="AV5" i="7"/>
  <c r="AW5" i="7"/>
  <c r="AX5" i="7"/>
  <c r="AY5" i="7"/>
  <c r="AZ5" i="7"/>
  <c r="BA5" i="7"/>
  <c r="BB5" i="7"/>
  <c r="BC5" i="7"/>
  <c r="BD5" i="7"/>
  <c r="BE5" i="7"/>
  <c r="BF5" i="7"/>
  <c r="BG5" i="7"/>
  <c r="BH5" i="7"/>
  <c r="BI5" i="7"/>
  <c r="BJ5" i="7"/>
  <c r="BK5" i="7"/>
  <c r="BL5" i="7"/>
  <c r="BM5" i="7"/>
  <c r="BN5" i="7"/>
  <c r="BO5" i="7"/>
  <c r="BP5" i="7"/>
  <c r="BQ5" i="7"/>
  <c r="BR5" i="7"/>
  <c r="BS5" i="7"/>
  <c r="BT5" i="7"/>
  <c r="BU5" i="7"/>
  <c r="BV5" i="7"/>
  <c r="BW5" i="7"/>
  <c r="BX5" i="7"/>
  <c r="BY5" i="7"/>
  <c r="BZ5" i="7"/>
  <c r="CA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AJ6" i="7"/>
  <c r="AK6" i="7"/>
  <c r="AL6" i="7"/>
  <c r="AM6" i="7"/>
  <c r="AN6" i="7"/>
  <c r="AO6" i="7"/>
  <c r="AP6" i="7"/>
  <c r="AQ6" i="7"/>
  <c r="AR6" i="7"/>
  <c r="AS6" i="7"/>
  <c r="AT6" i="7"/>
  <c r="AU6" i="7"/>
  <c r="AV6" i="7"/>
  <c r="AW6" i="7"/>
  <c r="AX6" i="7"/>
  <c r="AY6" i="7"/>
  <c r="AZ6" i="7"/>
  <c r="BA6" i="7"/>
  <c r="BB6" i="7"/>
  <c r="BC6" i="7"/>
  <c r="BD6" i="7"/>
  <c r="BE6" i="7"/>
  <c r="BF6" i="7"/>
  <c r="BG6" i="7"/>
  <c r="BH6" i="7"/>
  <c r="BI6" i="7"/>
  <c r="BJ6" i="7"/>
  <c r="BK6" i="7"/>
  <c r="BL6" i="7"/>
  <c r="BM6" i="7"/>
  <c r="BN6" i="7"/>
  <c r="BO6" i="7"/>
  <c r="BP6" i="7"/>
  <c r="BQ6" i="7"/>
  <c r="BR6" i="7"/>
  <c r="BS6" i="7"/>
  <c r="BT6" i="7"/>
  <c r="BU6" i="7"/>
  <c r="BV6" i="7"/>
  <c r="BW6" i="7"/>
  <c r="BX6" i="7"/>
  <c r="BY6" i="7"/>
  <c r="BZ6" i="7"/>
  <c r="CA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AJ7" i="7"/>
  <c r="AK7" i="7"/>
  <c r="AL7" i="7"/>
  <c r="AM7" i="7"/>
  <c r="AN7" i="7"/>
  <c r="AO7" i="7"/>
  <c r="AP7" i="7"/>
  <c r="AQ7" i="7"/>
  <c r="AR7" i="7"/>
  <c r="AS7" i="7"/>
  <c r="AT7" i="7"/>
  <c r="AU7" i="7"/>
  <c r="AV7" i="7"/>
  <c r="AW7" i="7"/>
  <c r="AX7" i="7"/>
  <c r="AY7" i="7"/>
  <c r="AZ7" i="7"/>
  <c r="BA7" i="7"/>
  <c r="BB7" i="7"/>
  <c r="BC7" i="7"/>
  <c r="BD7" i="7"/>
  <c r="BE7" i="7"/>
  <c r="BF7" i="7"/>
  <c r="BG7" i="7"/>
  <c r="BH7" i="7"/>
  <c r="BI7" i="7"/>
  <c r="BJ7" i="7"/>
  <c r="BK7" i="7"/>
  <c r="BL7" i="7"/>
  <c r="BM7" i="7"/>
  <c r="BN7" i="7"/>
  <c r="BO7" i="7"/>
  <c r="BP7" i="7"/>
  <c r="BQ7" i="7"/>
  <c r="BR7" i="7"/>
  <c r="BS7" i="7"/>
  <c r="BT7" i="7"/>
  <c r="BU7" i="7"/>
  <c r="BV7" i="7"/>
  <c r="BW7" i="7"/>
  <c r="BX7" i="7"/>
  <c r="BY7" i="7"/>
  <c r="BZ7" i="7"/>
  <c r="CA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AJ8" i="7"/>
  <c r="AK8" i="7"/>
  <c r="AL8" i="7"/>
  <c r="AM8" i="7"/>
  <c r="AN8" i="7"/>
  <c r="AO8" i="7"/>
  <c r="AP8" i="7"/>
  <c r="AQ8" i="7"/>
  <c r="AR8" i="7"/>
  <c r="AS8" i="7"/>
  <c r="AT8" i="7"/>
  <c r="AU8" i="7"/>
  <c r="AV8" i="7"/>
  <c r="AW8" i="7"/>
  <c r="AX8" i="7"/>
  <c r="AY8" i="7"/>
  <c r="AZ8" i="7"/>
  <c r="BA8" i="7"/>
  <c r="BB8" i="7"/>
  <c r="BC8" i="7"/>
  <c r="BD8" i="7"/>
  <c r="BE8" i="7"/>
  <c r="BF8" i="7"/>
  <c r="BG8" i="7"/>
  <c r="BH8" i="7"/>
  <c r="BI8" i="7"/>
  <c r="BJ8" i="7"/>
  <c r="BK8" i="7"/>
  <c r="BL8" i="7"/>
  <c r="BM8" i="7"/>
  <c r="BN8" i="7"/>
  <c r="BO8" i="7"/>
  <c r="BP8" i="7"/>
  <c r="BQ8" i="7"/>
  <c r="BR8" i="7"/>
  <c r="BS8" i="7"/>
  <c r="BT8" i="7"/>
  <c r="BU8" i="7"/>
  <c r="BV8" i="7"/>
  <c r="BW8" i="7"/>
  <c r="BX8" i="7"/>
  <c r="BY8" i="7"/>
  <c r="BZ8" i="7"/>
  <c r="CA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AJ9" i="7"/>
  <c r="AK9" i="7"/>
  <c r="AL9" i="7"/>
  <c r="AM9" i="7"/>
  <c r="AN9" i="7"/>
  <c r="AO9" i="7"/>
  <c r="AP9" i="7"/>
  <c r="AQ9" i="7"/>
  <c r="AR9" i="7"/>
  <c r="AS9" i="7"/>
  <c r="AT9" i="7"/>
  <c r="AU9" i="7"/>
  <c r="AV9" i="7"/>
  <c r="AW9" i="7"/>
  <c r="AX9" i="7"/>
  <c r="AY9" i="7"/>
  <c r="AZ9" i="7"/>
  <c r="BA9" i="7"/>
  <c r="BB9" i="7"/>
  <c r="BC9" i="7"/>
  <c r="BD9" i="7"/>
  <c r="BE9" i="7"/>
  <c r="BF9" i="7"/>
  <c r="BG9" i="7"/>
  <c r="BH9" i="7"/>
  <c r="BI9" i="7"/>
  <c r="BJ9" i="7"/>
  <c r="BK9" i="7"/>
  <c r="BL9" i="7"/>
  <c r="BM9" i="7"/>
  <c r="BN9" i="7"/>
  <c r="BO9" i="7"/>
  <c r="BP9" i="7"/>
  <c r="BQ9" i="7"/>
  <c r="BR9" i="7"/>
  <c r="BS9" i="7"/>
  <c r="BT9" i="7"/>
  <c r="BU9" i="7"/>
  <c r="BV9" i="7"/>
  <c r="BW9" i="7"/>
  <c r="BX9" i="7"/>
  <c r="BY9" i="7"/>
  <c r="BZ9" i="7"/>
  <c r="CA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AJ10" i="7"/>
  <c r="AK10" i="7"/>
  <c r="AL10" i="7"/>
  <c r="AM10" i="7"/>
  <c r="AN10" i="7"/>
  <c r="AO10" i="7"/>
  <c r="AP10" i="7"/>
  <c r="AQ10" i="7"/>
  <c r="AR10" i="7"/>
  <c r="AS10" i="7"/>
  <c r="AT10" i="7"/>
  <c r="AU10" i="7"/>
  <c r="AV10" i="7"/>
  <c r="AW10" i="7"/>
  <c r="AX10" i="7"/>
  <c r="AY10" i="7"/>
  <c r="AZ10" i="7"/>
  <c r="BA10" i="7"/>
  <c r="BB10" i="7"/>
  <c r="BC10" i="7"/>
  <c r="BD10" i="7"/>
  <c r="BE10" i="7"/>
  <c r="BF10" i="7"/>
  <c r="BG10" i="7"/>
  <c r="BH10" i="7"/>
  <c r="BI10" i="7"/>
  <c r="BJ10" i="7"/>
  <c r="BK10" i="7"/>
  <c r="BL10" i="7"/>
  <c r="BM10" i="7"/>
  <c r="BN10" i="7"/>
  <c r="BO10" i="7"/>
  <c r="BP10" i="7"/>
  <c r="BQ10" i="7"/>
  <c r="BR10" i="7"/>
  <c r="BS10" i="7"/>
  <c r="BT10" i="7"/>
  <c r="BU10" i="7"/>
  <c r="BV10" i="7"/>
  <c r="BW10" i="7"/>
  <c r="BX10" i="7"/>
  <c r="BY10" i="7"/>
  <c r="BZ10" i="7"/>
  <c r="CA10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AX2" i="7"/>
  <c r="AY2" i="7"/>
  <c r="AZ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T2" i="7"/>
  <c r="BU2" i="7"/>
  <c r="BV2" i="7"/>
  <c r="BW2" i="7"/>
  <c r="BX2" i="7"/>
  <c r="BY2" i="7"/>
  <c r="BZ2" i="7"/>
  <c r="CA2" i="7"/>
  <c r="B2" i="7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AL3" i="6"/>
  <c r="AM3" i="6"/>
  <c r="AN3" i="6"/>
  <c r="AO3" i="6"/>
  <c r="AP3" i="6"/>
  <c r="AQ3" i="6"/>
  <c r="AR3" i="6"/>
  <c r="AS3" i="6"/>
  <c r="AT3" i="6"/>
  <c r="AU3" i="6"/>
  <c r="AV3" i="6"/>
  <c r="AW3" i="6"/>
  <c r="AX3" i="6"/>
  <c r="AY3" i="6"/>
  <c r="AZ3" i="6"/>
  <c r="BA3" i="6"/>
  <c r="BB3" i="6"/>
  <c r="BC3" i="6"/>
  <c r="BD3" i="6"/>
  <c r="BE3" i="6"/>
  <c r="BF3" i="6"/>
  <c r="BG3" i="6"/>
  <c r="BH3" i="6"/>
  <c r="BI3" i="6"/>
  <c r="BJ3" i="6"/>
  <c r="BK3" i="6"/>
  <c r="BL3" i="6"/>
  <c r="BM3" i="6"/>
  <c r="BN3" i="6"/>
  <c r="BO3" i="6"/>
  <c r="BP3" i="6"/>
  <c r="BQ3" i="6"/>
  <c r="BR3" i="6"/>
  <c r="BS3" i="6"/>
  <c r="BT3" i="6"/>
  <c r="BU3" i="6"/>
  <c r="BV3" i="6"/>
  <c r="BW3" i="6"/>
  <c r="BX3" i="6"/>
  <c r="BY3" i="6"/>
  <c r="BZ3" i="6"/>
  <c r="CA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Y4" i="6"/>
  <c r="BZ4" i="6"/>
  <c r="CA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AL5" i="6"/>
  <c r="AM5" i="6"/>
  <c r="AN5" i="6"/>
  <c r="AO5" i="6"/>
  <c r="AP5" i="6"/>
  <c r="AQ5" i="6"/>
  <c r="AR5" i="6"/>
  <c r="AS5" i="6"/>
  <c r="AT5" i="6"/>
  <c r="AU5" i="6"/>
  <c r="AV5" i="6"/>
  <c r="AW5" i="6"/>
  <c r="AX5" i="6"/>
  <c r="AY5" i="6"/>
  <c r="AZ5" i="6"/>
  <c r="BA5" i="6"/>
  <c r="BB5" i="6"/>
  <c r="BC5" i="6"/>
  <c r="BD5" i="6"/>
  <c r="BE5" i="6"/>
  <c r="BF5" i="6"/>
  <c r="BG5" i="6"/>
  <c r="BH5" i="6"/>
  <c r="BI5" i="6"/>
  <c r="BJ5" i="6"/>
  <c r="BK5" i="6"/>
  <c r="BL5" i="6"/>
  <c r="BM5" i="6"/>
  <c r="BN5" i="6"/>
  <c r="BO5" i="6"/>
  <c r="BP5" i="6"/>
  <c r="BQ5" i="6"/>
  <c r="BR5" i="6"/>
  <c r="BS5" i="6"/>
  <c r="BT5" i="6"/>
  <c r="BU5" i="6"/>
  <c r="BV5" i="6"/>
  <c r="BW5" i="6"/>
  <c r="BY5" i="6"/>
  <c r="BZ5" i="6"/>
  <c r="CA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AL7" i="6"/>
  <c r="AM7" i="6"/>
  <c r="AN7" i="6"/>
  <c r="AO7" i="6"/>
  <c r="AP7" i="6"/>
  <c r="AQ7" i="6"/>
  <c r="AR7" i="6"/>
  <c r="AS7" i="6"/>
  <c r="AT7" i="6"/>
  <c r="AU7" i="6"/>
  <c r="AV7" i="6"/>
  <c r="AW7" i="6"/>
  <c r="AX7" i="6"/>
  <c r="AY7" i="6"/>
  <c r="AZ7" i="6"/>
  <c r="BA7" i="6"/>
  <c r="BB7" i="6"/>
  <c r="BC7" i="6"/>
  <c r="BD7" i="6"/>
  <c r="BE7" i="6"/>
  <c r="BF7" i="6"/>
  <c r="BG7" i="6"/>
  <c r="BH7" i="6"/>
  <c r="BI7" i="6"/>
  <c r="BJ7" i="6"/>
  <c r="BK7" i="6"/>
  <c r="BL7" i="6"/>
  <c r="BM7" i="6"/>
  <c r="BN7" i="6"/>
  <c r="BO7" i="6"/>
  <c r="BP7" i="6"/>
  <c r="BQ7" i="6"/>
  <c r="BR7" i="6"/>
  <c r="BS7" i="6"/>
  <c r="BT7" i="6"/>
  <c r="BU7" i="6"/>
  <c r="BV7" i="6"/>
  <c r="BW7" i="6"/>
  <c r="BX7" i="6"/>
  <c r="BY7" i="6"/>
  <c r="BZ7" i="6"/>
  <c r="CA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AL8" i="6"/>
  <c r="AM8" i="6"/>
  <c r="AN8" i="6"/>
  <c r="AO8" i="6"/>
  <c r="AP8" i="6"/>
  <c r="AQ8" i="6"/>
  <c r="AR8" i="6"/>
  <c r="AS8" i="6"/>
  <c r="AT8" i="6"/>
  <c r="AU8" i="6"/>
  <c r="AV8" i="6"/>
  <c r="AW8" i="6"/>
  <c r="AX8" i="6"/>
  <c r="AY8" i="6"/>
  <c r="AZ8" i="6"/>
  <c r="BA8" i="6"/>
  <c r="BB8" i="6"/>
  <c r="BC8" i="6"/>
  <c r="BD8" i="6"/>
  <c r="BE8" i="6"/>
  <c r="BF8" i="6"/>
  <c r="BG8" i="6"/>
  <c r="BH8" i="6"/>
  <c r="BI8" i="6"/>
  <c r="BJ8" i="6"/>
  <c r="BK8" i="6"/>
  <c r="BL8" i="6"/>
  <c r="BM8" i="6"/>
  <c r="BN8" i="6"/>
  <c r="BO8" i="6"/>
  <c r="BP8" i="6"/>
  <c r="BQ8" i="6"/>
  <c r="BR8" i="6"/>
  <c r="BS8" i="6"/>
  <c r="BT8" i="6"/>
  <c r="BU8" i="6"/>
  <c r="BV8" i="6"/>
  <c r="BW8" i="6"/>
  <c r="BX8" i="6"/>
  <c r="BY8" i="6"/>
  <c r="BZ8" i="6"/>
  <c r="CA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AL9" i="6"/>
  <c r="AM9" i="6"/>
  <c r="AN9" i="6"/>
  <c r="AO9" i="6"/>
  <c r="AP9" i="6"/>
  <c r="AQ9" i="6"/>
  <c r="AR9" i="6"/>
  <c r="AS9" i="6"/>
  <c r="AT9" i="6"/>
  <c r="AU9" i="6"/>
  <c r="AV9" i="6"/>
  <c r="AW9" i="6"/>
  <c r="AX9" i="6"/>
  <c r="AY9" i="6"/>
  <c r="AZ9" i="6"/>
  <c r="BA9" i="6"/>
  <c r="BB9" i="6"/>
  <c r="BC9" i="6"/>
  <c r="BD9" i="6"/>
  <c r="BE9" i="6"/>
  <c r="BF9" i="6"/>
  <c r="BG9" i="6"/>
  <c r="BH9" i="6"/>
  <c r="BI9" i="6"/>
  <c r="BJ9" i="6"/>
  <c r="BK9" i="6"/>
  <c r="BL9" i="6"/>
  <c r="BM9" i="6"/>
  <c r="BN9" i="6"/>
  <c r="BO9" i="6"/>
  <c r="BP9" i="6"/>
  <c r="BQ9" i="6"/>
  <c r="BR9" i="6"/>
  <c r="BS9" i="6"/>
  <c r="BT9" i="6"/>
  <c r="BU9" i="6"/>
  <c r="BV9" i="6"/>
  <c r="BW9" i="6"/>
  <c r="BX9" i="6"/>
  <c r="BY9" i="6"/>
  <c r="BZ9" i="6"/>
  <c r="CA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2" i="6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AG2" i="6"/>
  <c r="AH2" i="6"/>
  <c r="AI2" i="6"/>
  <c r="AJ2" i="6"/>
  <c r="AK2" i="6"/>
  <c r="AL2" i="6"/>
  <c r="AM2" i="6"/>
  <c r="AN2" i="6"/>
  <c r="AO2" i="6"/>
  <c r="AP2" i="6"/>
  <c r="AQ2" i="6"/>
  <c r="AR2" i="6"/>
  <c r="AS2" i="6"/>
  <c r="AT2" i="6"/>
  <c r="AU2" i="6"/>
  <c r="AV2" i="6"/>
  <c r="AW2" i="6"/>
  <c r="AX2" i="6"/>
  <c r="AY2" i="6"/>
  <c r="AZ2" i="6"/>
  <c r="BA2" i="6"/>
  <c r="BB2" i="6"/>
  <c r="BC2" i="6"/>
  <c r="BD2" i="6"/>
  <c r="BE2" i="6"/>
  <c r="BF2" i="6"/>
  <c r="BG2" i="6"/>
  <c r="BH2" i="6"/>
  <c r="BI2" i="6"/>
  <c r="BJ2" i="6"/>
  <c r="BK2" i="6"/>
  <c r="BL2" i="6"/>
  <c r="BM2" i="6"/>
  <c r="BN2" i="6"/>
  <c r="BO2" i="6"/>
  <c r="BP2" i="6"/>
  <c r="BQ2" i="6"/>
  <c r="BR2" i="6"/>
  <c r="BS2" i="6"/>
  <c r="BT2" i="6"/>
  <c r="BU2" i="6"/>
  <c r="BV2" i="6"/>
  <c r="BW2" i="6"/>
  <c r="BX2" i="6"/>
  <c r="BY2" i="6"/>
  <c r="BZ2" i="6"/>
  <c r="CA2" i="6"/>
  <c r="B2" i="6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AH17" i="4"/>
  <c r="AI17" i="4"/>
  <c r="P18" i="4"/>
  <c r="CA18" i="4" s="1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AH19" i="4"/>
  <c r="AI19" i="4"/>
  <c r="P20" i="4"/>
  <c r="CA20" i="4" s="1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AH20" i="4"/>
  <c r="AI20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AH21" i="4"/>
  <c r="AI21" i="4"/>
  <c r="P22" i="4"/>
  <c r="CA22" i="4" s="1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AH22" i="4"/>
  <c r="AI22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AH23" i="4"/>
  <c r="AI23" i="4"/>
  <c r="P24" i="4"/>
  <c r="CA24" i="4" s="1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AH24" i="4"/>
  <c r="AI24" i="4"/>
  <c r="P25" i="4"/>
  <c r="Q25" i="4"/>
  <c r="R25" i="4"/>
  <c r="S25" i="4"/>
  <c r="T25" i="4"/>
  <c r="U25" i="4"/>
  <c r="V25" i="4"/>
  <c r="W25" i="4"/>
  <c r="X25" i="4"/>
  <c r="Y25" i="4"/>
  <c r="Z25" i="4"/>
  <c r="CA25" i="4" s="1"/>
  <c r="AA25" i="4"/>
  <c r="AB25" i="4"/>
  <c r="AC25" i="4"/>
  <c r="AD25" i="4"/>
  <c r="AE25" i="4"/>
  <c r="AF25" i="4"/>
  <c r="AG25" i="4"/>
  <c r="AH25" i="4"/>
  <c r="AI25" i="4"/>
  <c r="P26" i="4"/>
  <c r="CA26" i="4" s="1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AH26" i="4"/>
  <c r="AI26" i="4"/>
  <c r="CA19" i="4"/>
  <c r="CA21" i="4"/>
  <c r="CA23" i="4"/>
  <c r="CA17" i="4"/>
  <c r="BV18" i="4"/>
  <c r="BW18" i="4"/>
  <c r="BX18" i="4"/>
  <c r="BY18" i="4"/>
  <c r="BZ18" i="4"/>
  <c r="BV19" i="4"/>
  <c r="BW19" i="4"/>
  <c r="BX19" i="4"/>
  <c r="BY19" i="4"/>
  <c r="BZ19" i="4"/>
  <c r="BV20" i="4"/>
  <c r="BW20" i="4"/>
  <c r="BX20" i="4"/>
  <c r="BY20" i="4"/>
  <c r="BZ20" i="4"/>
  <c r="BV21" i="4"/>
  <c r="BW21" i="4"/>
  <c r="BX21" i="4"/>
  <c r="BY21" i="4"/>
  <c r="BZ21" i="4"/>
  <c r="BV22" i="4"/>
  <c r="BW22" i="4"/>
  <c r="BX22" i="4"/>
  <c r="BY22" i="4"/>
  <c r="BZ22" i="4"/>
  <c r="BV23" i="4"/>
  <c r="BW23" i="4"/>
  <c r="BX23" i="4"/>
  <c r="BY23" i="4"/>
  <c r="BZ23" i="4"/>
  <c r="BV24" i="4"/>
  <c r="BW24" i="4"/>
  <c r="BX24" i="4"/>
  <c r="BY24" i="4"/>
  <c r="BZ24" i="4"/>
  <c r="BV25" i="4"/>
  <c r="BW25" i="4"/>
  <c r="BX25" i="4"/>
  <c r="BY25" i="4"/>
  <c r="BZ25" i="4"/>
  <c r="BV26" i="4"/>
  <c r="BW26" i="4"/>
  <c r="BX26" i="4"/>
  <c r="BY26" i="4"/>
  <c r="BZ26" i="4"/>
  <c r="BW17" i="4"/>
  <c r="BX17" i="4"/>
  <c r="BY17" i="4"/>
  <c r="BZ17" i="4"/>
  <c r="BV17" i="4"/>
  <c r="BU18" i="4"/>
  <c r="BU19" i="4"/>
  <c r="BU20" i="4"/>
  <c r="BU21" i="4"/>
  <c r="BU22" i="4"/>
  <c r="BU23" i="4"/>
  <c r="BU24" i="4"/>
  <c r="BU25" i="4"/>
  <c r="BU26" i="4"/>
  <c r="BU17" i="4"/>
  <c r="BM18" i="4"/>
  <c r="BN18" i="4"/>
  <c r="BO18" i="4"/>
  <c r="BP18" i="4"/>
  <c r="BQ18" i="4"/>
  <c r="BR18" i="4"/>
  <c r="BS18" i="4"/>
  <c r="BT18" i="4"/>
  <c r="BM19" i="4"/>
  <c r="BN19" i="4"/>
  <c r="BO19" i="4"/>
  <c r="BP19" i="4"/>
  <c r="BQ19" i="4"/>
  <c r="BR19" i="4"/>
  <c r="BS19" i="4"/>
  <c r="BT19" i="4"/>
  <c r="BM20" i="4"/>
  <c r="BN20" i="4"/>
  <c r="BO20" i="4"/>
  <c r="BP20" i="4"/>
  <c r="BQ20" i="4"/>
  <c r="BR20" i="4"/>
  <c r="BS20" i="4"/>
  <c r="BT20" i="4"/>
  <c r="BM21" i="4"/>
  <c r="BN21" i="4"/>
  <c r="BO21" i="4"/>
  <c r="BP21" i="4"/>
  <c r="BQ21" i="4"/>
  <c r="BR21" i="4"/>
  <c r="BS21" i="4"/>
  <c r="BT21" i="4"/>
  <c r="BM22" i="4"/>
  <c r="BN22" i="4"/>
  <c r="BO22" i="4"/>
  <c r="BP22" i="4"/>
  <c r="BQ22" i="4"/>
  <c r="BR22" i="4"/>
  <c r="BS22" i="4"/>
  <c r="BT22" i="4"/>
  <c r="BM23" i="4"/>
  <c r="BN23" i="4"/>
  <c r="BO23" i="4"/>
  <c r="BP23" i="4"/>
  <c r="BQ23" i="4"/>
  <c r="BR23" i="4"/>
  <c r="BS23" i="4"/>
  <c r="BT23" i="4"/>
  <c r="BM24" i="4"/>
  <c r="BN24" i="4"/>
  <c r="BO24" i="4"/>
  <c r="BP24" i="4"/>
  <c r="BQ24" i="4"/>
  <c r="BR24" i="4"/>
  <c r="BS24" i="4"/>
  <c r="BT24" i="4"/>
  <c r="BM25" i="4"/>
  <c r="BN25" i="4"/>
  <c r="BO25" i="4"/>
  <c r="BP25" i="4"/>
  <c r="BQ25" i="4"/>
  <c r="BR25" i="4"/>
  <c r="BS25" i="4"/>
  <c r="BT25" i="4"/>
  <c r="BM26" i="4"/>
  <c r="BN26" i="4"/>
  <c r="BO26" i="4"/>
  <c r="BP26" i="4"/>
  <c r="BQ26" i="4"/>
  <c r="BR26" i="4"/>
  <c r="BS26" i="4"/>
  <c r="BT26" i="4"/>
  <c r="BN17" i="4"/>
  <c r="BO17" i="4"/>
  <c r="BP17" i="4"/>
  <c r="BQ17" i="4"/>
  <c r="BR17" i="4"/>
  <c r="BS17" i="4"/>
  <c r="BT17" i="4"/>
  <c r="BM17" i="4"/>
  <c r="BL18" i="4"/>
  <c r="BL19" i="4"/>
  <c r="BL20" i="4"/>
  <c r="BL21" i="4"/>
  <c r="BL22" i="4"/>
  <c r="BL23" i="4"/>
  <c r="BL24" i="4"/>
  <c r="BL25" i="4"/>
  <c r="BL26" i="4"/>
  <c r="BL17" i="4"/>
  <c r="BC18" i="4"/>
  <c r="BD18" i="4"/>
  <c r="BE18" i="4"/>
  <c r="BF18" i="4"/>
  <c r="BG18" i="4"/>
  <c r="BH18" i="4"/>
  <c r="BI18" i="4"/>
  <c r="BJ18" i="4"/>
  <c r="BK18" i="4"/>
  <c r="BC19" i="4"/>
  <c r="BD19" i="4"/>
  <c r="BE19" i="4"/>
  <c r="BF19" i="4"/>
  <c r="BG19" i="4"/>
  <c r="BH19" i="4"/>
  <c r="BI19" i="4"/>
  <c r="BJ19" i="4"/>
  <c r="BK19" i="4"/>
  <c r="BC20" i="4"/>
  <c r="BD20" i="4"/>
  <c r="BE20" i="4"/>
  <c r="BF20" i="4"/>
  <c r="BG20" i="4"/>
  <c r="BH20" i="4"/>
  <c r="BI20" i="4"/>
  <c r="BJ20" i="4"/>
  <c r="BK20" i="4"/>
  <c r="BC21" i="4"/>
  <c r="BD21" i="4"/>
  <c r="BE21" i="4"/>
  <c r="BF21" i="4"/>
  <c r="BG21" i="4"/>
  <c r="BH21" i="4"/>
  <c r="BI21" i="4"/>
  <c r="BJ21" i="4"/>
  <c r="BK21" i="4"/>
  <c r="BC22" i="4"/>
  <c r="BD22" i="4"/>
  <c r="BE22" i="4"/>
  <c r="BF22" i="4"/>
  <c r="BG22" i="4"/>
  <c r="BH22" i="4"/>
  <c r="BI22" i="4"/>
  <c r="BJ22" i="4"/>
  <c r="BK22" i="4"/>
  <c r="BC23" i="4"/>
  <c r="BD23" i="4"/>
  <c r="BE23" i="4"/>
  <c r="BF23" i="4"/>
  <c r="BG23" i="4"/>
  <c r="BH23" i="4"/>
  <c r="BI23" i="4"/>
  <c r="BJ23" i="4"/>
  <c r="BK23" i="4"/>
  <c r="BC24" i="4"/>
  <c r="BD24" i="4"/>
  <c r="BE24" i="4"/>
  <c r="BF24" i="4"/>
  <c r="BG24" i="4"/>
  <c r="BH24" i="4"/>
  <c r="BI24" i="4"/>
  <c r="BJ24" i="4"/>
  <c r="BK24" i="4"/>
  <c r="BC25" i="4"/>
  <c r="BD25" i="4"/>
  <c r="BE25" i="4"/>
  <c r="BF25" i="4"/>
  <c r="BG25" i="4"/>
  <c r="BH25" i="4"/>
  <c r="BI25" i="4"/>
  <c r="BJ25" i="4"/>
  <c r="BK25" i="4"/>
  <c r="BC26" i="4"/>
  <c r="BD26" i="4"/>
  <c r="BE26" i="4"/>
  <c r="BF26" i="4"/>
  <c r="BG26" i="4"/>
  <c r="BH26" i="4"/>
  <c r="BI26" i="4"/>
  <c r="BJ26" i="4"/>
  <c r="BK26" i="4"/>
  <c r="BD17" i="4"/>
  <c r="BE17" i="4"/>
  <c r="BF17" i="4"/>
  <c r="BG17" i="4"/>
  <c r="BH17" i="4"/>
  <c r="BI17" i="4"/>
  <c r="BJ17" i="4"/>
  <c r="BK17" i="4"/>
  <c r="BC17" i="4"/>
  <c r="BB18" i="4"/>
  <c r="BB19" i="4"/>
  <c r="BB20" i="4"/>
  <c r="BB21" i="4"/>
  <c r="BB22" i="4"/>
  <c r="BB23" i="4"/>
  <c r="BB24" i="4"/>
  <c r="BB25" i="4"/>
  <c r="BB26" i="4"/>
  <c r="BB17" i="4"/>
  <c r="AS18" i="4"/>
  <c r="AT18" i="4"/>
  <c r="AU18" i="4"/>
  <c r="AV18" i="4"/>
  <c r="AW18" i="4"/>
  <c r="AX18" i="4"/>
  <c r="AY18" i="4"/>
  <c r="AZ18" i="4"/>
  <c r="BA18" i="4"/>
  <c r="AS19" i="4"/>
  <c r="AT19" i="4"/>
  <c r="AU19" i="4"/>
  <c r="AV19" i="4"/>
  <c r="AW19" i="4"/>
  <c r="AX19" i="4"/>
  <c r="AY19" i="4"/>
  <c r="AZ19" i="4"/>
  <c r="BA19" i="4"/>
  <c r="AS20" i="4"/>
  <c r="AT20" i="4"/>
  <c r="AU20" i="4"/>
  <c r="AV20" i="4"/>
  <c r="AW20" i="4"/>
  <c r="AX20" i="4"/>
  <c r="AY20" i="4"/>
  <c r="AZ20" i="4"/>
  <c r="BA20" i="4"/>
  <c r="AS21" i="4"/>
  <c r="AT21" i="4"/>
  <c r="AU21" i="4"/>
  <c r="AV21" i="4"/>
  <c r="AW21" i="4"/>
  <c r="AX21" i="4"/>
  <c r="AY21" i="4"/>
  <c r="AZ21" i="4"/>
  <c r="BA21" i="4"/>
  <c r="AS22" i="4"/>
  <c r="AT22" i="4"/>
  <c r="AU22" i="4"/>
  <c r="AV22" i="4"/>
  <c r="AW22" i="4"/>
  <c r="AX22" i="4"/>
  <c r="AY22" i="4"/>
  <c r="AZ22" i="4"/>
  <c r="BA22" i="4"/>
  <c r="AS23" i="4"/>
  <c r="AT23" i="4"/>
  <c r="AU23" i="4"/>
  <c r="AV23" i="4"/>
  <c r="AW23" i="4"/>
  <c r="AX23" i="4"/>
  <c r="AY23" i="4"/>
  <c r="AZ23" i="4"/>
  <c r="BA23" i="4"/>
  <c r="AS24" i="4"/>
  <c r="AT24" i="4"/>
  <c r="AU24" i="4"/>
  <c r="AV24" i="4"/>
  <c r="AW24" i="4"/>
  <c r="AX24" i="4"/>
  <c r="AY24" i="4"/>
  <c r="AZ24" i="4"/>
  <c r="BA24" i="4"/>
  <c r="AS25" i="4"/>
  <c r="AT25" i="4"/>
  <c r="AU25" i="4"/>
  <c r="AV25" i="4"/>
  <c r="AW25" i="4"/>
  <c r="AX25" i="4"/>
  <c r="AY25" i="4"/>
  <c r="AZ25" i="4"/>
  <c r="BA25" i="4"/>
  <c r="AS26" i="4"/>
  <c r="AT26" i="4"/>
  <c r="AU26" i="4"/>
  <c r="AV26" i="4"/>
  <c r="AW26" i="4"/>
  <c r="AX26" i="4"/>
  <c r="AY26" i="4"/>
  <c r="AZ26" i="4"/>
  <c r="BA26" i="4"/>
  <c r="AT17" i="4"/>
  <c r="AU17" i="4"/>
  <c r="AV17" i="4"/>
  <c r="AW17" i="4"/>
  <c r="AX17" i="4"/>
  <c r="AY17" i="4"/>
  <c r="AZ17" i="4"/>
  <c r="BA17" i="4"/>
  <c r="AS17" i="4"/>
  <c r="AR17" i="4"/>
  <c r="AR18" i="4"/>
  <c r="AR19" i="4"/>
  <c r="AR20" i="4"/>
  <c r="AR21" i="4"/>
  <c r="AR22" i="4"/>
  <c r="AR23" i="4"/>
  <c r="AR24" i="4"/>
  <c r="AR25" i="4"/>
  <c r="AR26" i="4"/>
  <c r="AJ18" i="4"/>
  <c r="AK18" i="4"/>
  <c r="AL18" i="4"/>
  <c r="AM18" i="4"/>
  <c r="AN18" i="4"/>
  <c r="AO18" i="4"/>
  <c r="AP18" i="4"/>
  <c r="AQ18" i="4"/>
  <c r="AJ19" i="4"/>
  <c r="AK19" i="4"/>
  <c r="AL19" i="4"/>
  <c r="AM19" i="4"/>
  <c r="AN19" i="4"/>
  <c r="AO19" i="4"/>
  <c r="AP19" i="4"/>
  <c r="AQ19" i="4"/>
  <c r="AJ20" i="4"/>
  <c r="AK20" i="4"/>
  <c r="AL20" i="4"/>
  <c r="AM20" i="4"/>
  <c r="AN20" i="4"/>
  <c r="AO20" i="4"/>
  <c r="AP20" i="4"/>
  <c r="AQ20" i="4"/>
  <c r="AJ21" i="4"/>
  <c r="AK21" i="4"/>
  <c r="AL21" i="4"/>
  <c r="AM21" i="4"/>
  <c r="AN21" i="4"/>
  <c r="AO21" i="4"/>
  <c r="AP21" i="4"/>
  <c r="AQ21" i="4"/>
  <c r="AJ22" i="4"/>
  <c r="AK22" i="4"/>
  <c r="AL22" i="4"/>
  <c r="AM22" i="4"/>
  <c r="AN22" i="4"/>
  <c r="AO22" i="4"/>
  <c r="AP22" i="4"/>
  <c r="AQ22" i="4"/>
  <c r="AJ23" i="4"/>
  <c r="AK23" i="4"/>
  <c r="AL23" i="4"/>
  <c r="AM23" i="4"/>
  <c r="AN23" i="4"/>
  <c r="AO23" i="4"/>
  <c r="AP23" i="4"/>
  <c r="AQ23" i="4"/>
  <c r="AJ24" i="4"/>
  <c r="AK24" i="4"/>
  <c r="AL24" i="4"/>
  <c r="AM24" i="4"/>
  <c r="AN24" i="4"/>
  <c r="AO24" i="4"/>
  <c r="AP24" i="4"/>
  <c r="AQ24" i="4"/>
  <c r="AJ25" i="4"/>
  <c r="AK25" i="4"/>
  <c r="AL25" i="4"/>
  <c r="AM25" i="4"/>
  <c r="AN25" i="4"/>
  <c r="AO25" i="4"/>
  <c r="AP25" i="4"/>
  <c r="AQ25" i="4"/>
  <c r="AJ26" i="4"/>
  <c r="AK26" i="4"/>
  <c r="AL26" i="4"/>
  <c r="AM26" i="4"/>
  <c r="AN26" i="4"/>
  <c r="AO26" i="4"/>
  <c r="AP26" i="4"/>
  <c r="AQ26" i="4"/>
  <c r="AJ17" i="4"/>
  <c r="AK17" i="4"/>
  <c r="AL17" i="4"/>
  <c r="AM17" i="4"/>
  <c r="AN17" i="4"/>
  <c r="AO17" i="4"/>
  <c r="AP17" i="4"/>
  <c r="AQ17" i="4"/>
  <c r="N18" i="4"/>
  <c r="O18" i="4"/>
  <c r="N19" i="4"/>
  <c r="O19" i="4"/>
  <c r="N20" i="4"/>
  <c r="O20" i="4"/>
  <c r="N21" i="4"/>
  <c r="O21" i="4"/>
  <c r="N22" i="4"/>
  <c r="O22" i="4"/>
  <c r="N23" i="4"/>
  <c r="O23" i="4"/>
  <c r="N24" i="4"/>
  <c r="O24" i="4"/>
  <c r="N25" i="4"/>
  <c r="O25" i="4"/>
  <c r="N26" i="4"/>
  <c r="O26" i="4"/>
  <c r="O17" i="4"/>
  <c r="N17" i="4"/>
  <c r="M18" i="4"/>
  <c r="M19" i="4"/>
  <c r="M20" i="4"/>
  <c r="M21" i="4"/>
  <c r="M22" i="4"/>
  <c r="M23" i="4"/>
  <c r="M24" i="4"/>
  <c r="M25" i="4"/>
  <c r="M26" i="4"/>
  <c r="M17" i="4"/>
  <c r="C18" i="4"/>
  <c r="D18" i="4"/>
  <c r="E18" i="4"/>
  <c r="F18" i="4"/>
  <c r="G18" i="4"/>
  <c r="H18" i="4"/>
  <c r="I18" i="4"/>
  <c r="J18" i="4"/>
  <c r="K18" i="4"/>
  <c r="L18" i="4"/>
  <c r="C19" i="4"/>
  <c r="D19" i="4"/>
  <c r="E19" i="4"/>
  <c r="F19" i="4"/>
  <c r="G19" i="4"/>
  <c r="H19" i="4"/>
  <c r="I19" i="4"/>
  <c r="J19" i="4"/>
  <c r="K19" i="4"/>
  <c r="L19" i="4"/>
  <c r="C20" i="4"/>
  <c r="D20" i="4"/>
  <c r="E20" i="4"/>
  <c r="F20" i="4"/>
  <c r="G20" i="4"/>
  <c r="H20" i="4"/>
  <c r="I20" i="4"/>
  <c r="J20" i="4"/>
  <c r="K20" i="4"/>
  <c r="L20" i="4"/>
  <c r="C21" i="4"/>
  <c r="D21" i="4"/>
  <c r="E21" i="4"/>
  <c r="F21" i="4"/>
  <c r="G21" i="4"/>
  <c r="H21" i="4"/>
  <c r="I21" i="4"/>
  <c r="J21" i="4"/>
  <c r="K21" i="4"/>
  <c r="L21" i="4"/>
  <c r="C22" i="4"/>
  <c r="D22" i="4"/>
  <c r="E22" i="4"/>
  <c r="F22" i="4"/>
  <c r="G22" i="4"/>
  <c r="H22" i="4"/>
  <c r="I22" i="4"/>
  <c r="J22" i="4"/>
  <c r="K22" i="4"/>
  <c r="L22" i="4"/>
  <c r="C23" i="4"/>
  <c r="D23" i="4"/>
  <c r="E23" i="4"/>
  <c r="F23" i="4"/>
  <c r="G23" i="4"/>
  <c r="H23" i="4"/>
  <c r="I23" i="4"/>
  <c r="J23" i="4"/>
  <c r="K23" i="4"/>
  <c r="L23" i="4"/>
  <c r="C24" i="4"/>
  <c r="D24" i="4"/>
  <c r="E24" i="4"/>
  <c r="F24" i="4"/>
  <c r="G24" i="4"/>
  <c r="H24" i="4"/>
  <c r="I24" i="4"/>
  <c r="J24" i="4"/>
  <c r="K24" i="4"/>
  <c r="L24" i="4"/>
  <c r="C25" i="4"/>
  <c r="D25" i="4"/>
  <c r="E25" i="4"/>
  <c r="F25" i="4"/>
  <c r="G25" i="4"/>
  <c r="H25" i="4"/>
  <c r="I25" i="4"/>
  <c r="J25" i="4"/>
  <c r="K25" i="4"/>
  <c r="L25" i="4"/>
  <c r="C26" i="4"/>
  <c r="D26" i="4"/>
  <c r="E26" i="4"/>
  <c r="F26" i="4"/>
  <c r="G26" i="4"/>
  <c r="H26" i="4"/>
  <c r="I26" i="4"/>
  <c r="J26" i="4"/>
  <c r="K26" i="4"/>
  <c r="L26" i="4"/>
  <c r="D17" i="4"/>
  <c r="E17" i="4"/>
  <c r="F17" i="4"/>
  <c r="G17" i="4"/>
  <c r="H17" i="4"/>
  <c r="I17" i="4"/>
  <c r="J17" i="4"/>
  <c r="K17" i="4"/>
  <c r="L17" i="4"/>
  <c r="C17" i="4"/>
  <c r="B17" i="4"/>
  <c r="B18" i="4"/>
  <c r="B19" i="4"/>
  <c r="B20" i="4"/>
  <c r="B21" i="4"/>
  <c r="B22" i="4"/>
  <c r="B23" i="4"/>
  <c r="B24" i="4"/>
  <c r="B25" i="4"/>
  <c r="B26" i="4"/>
  <c r="B17" i="3"/>
  <c r="L18" i="3"/>
  <c r="L19" i="3"/>
  <c r="L20" i="3"/>
  <c r="L21" i="3"/>
  <c r="L22" i="3"/>
  <c r="L23" i="3"/>
  <c r="L24" i="3"/>
  <c r="L25" i="3"/>
  <c r="L26" i="3"/>
  <c r="K18" i="3"/>
  <c r="K19" i="3"/>
  <c r="K20" i="3"/>
  <c r="K21" i="3"/>
  <c r="K22" i="3"/>
  <c r="K23" i="3"/>
  <c r="K24" i="3"/>
  <c r="K25" i="3"/>
  <c r="K26" i="3"/>
  <c r="J18" i="3"/>
  <c r="J19" i="3"/>
  <c r="J20" i="3"/>
  <c r="J21" i="3"/>
  <c r="J22" i="3"/>
  <c r="J23" i="3"/>
  <c r="J24" i="3"/>
  <c r="J25" i="3"/>
  <c r="J26" i="3"/>
  <c r="I18" i="3"/>
  <c r="I19" i="3"/>
  <c r="I20" i="3"/>
  <c r="I21" i="3"/>
  <c r="I22" i="3"/>
  <c r="I23" i="3"/>
  <c r="I24" i="3"/>
  <c r="I25" i="3"/>
  <c r="I26" i="3"/>
  <c r="H18" i="3"/>
  <c r="H19" i="3"/>
  <c r="H20" i="3"/>
  <c r="H21" i="3"/>
  <c r="H22" i="3"/>
  <c r="H23" i="3"/>
  <c r="H24" i="3"/>
  <c r="H25" i="3"/>
  <c r="H26" i="3"/>
  <c r="G18" i="3"/>
  <c r="G19" i="3"/>
  <c r="G20" i="3"/>
  <c r="G21" i="3"/>
  <c r="G22" i="3"/>
  <c r="G23" i="3"/>
  <c r="G24" i="3"/>
  <c r="G25" i="3"/>
  <c r="G26" i="3"/>
  <c r="F18" i="3"/>
  <c r="F19" i="3"/>
  <c r="F20" i="3"/>
  <c r="F21" i="3"/>
  <c r="F22" i="3"/>
  <c r="F23" i="3"/>
  <c r="F24" i="3"/>
  <c r="F25" i="3"/>
  <c r="F26" i="3"/>
  <c r="E18" i="3"/>
  <c r="E19" i="3"/>
  <c r="E20" i="3"/>
  <c r="E21" i="3"/>
  <c r="E22" i="3"/>
  <c r="E23" i="3"/>
  <c r="E24" i="3"/>
  <c r="E25" i="3"/>
  <c r="E26" i="3"/>
  <c r="D18" i="3"/>
  <c r="D19" i="3"/>
  <c r="D20" i="3"/>
  <c r="D21" i="3"/>
  <c r="D22" i="3"/>
  <c r="D23" i="3"/>
  <c r="D24" i="3"/>
  <c r="D25" i="3"/>
  <c r="D26" i="3"/>
  <c r="CA18" i="3"/>
  <c r="CA19" i="3"/>
  <c r="CA20" i="3"/>
  <c r="CA21" i="3"/>
  <c r="CA22" i="3"/>
  <c r="CA23" i="3"/>
  <c r="CA24" i="3"/>
  <c r="CA25" i="3"/>
  <c r="CA26" i="3"/>
  <c r="CA17" i="3"/>
  <c r="BV18" i="3"/>
  <c r="BW18" i="3"/>
  <c r="BX18" i="3"/>
  <c r="BY18" i="3"/>
  <c r="BZ18" i="3"/>
  <c r="BV19" i="3"/>
  <c r="BW19" i="3"/>
  <c r="BX19" i="3"/>
  <c r="BY19" i="3"/>
  <c r="BZ19" i="3"/>
  <c r="BV20" i="3"/>
  <c r="BW20" i="3"/>
  <c r="BX20" i="3"/>
  <c r="BY20" i="3"/>
  <c r="BZ20" i="3"/>
  <c r="BV21" i="3"/>
  <c r="BW21" i="3"/>
  <c r="BX21" i="3"/>
  <c r="BY21" i="3"/>
  <c r="BZ21" i="3"/>
  <c r="BV22" i="3"/>
  <c r="BW22" i="3"/>
  <c r="BX22" i="3"/>
  <c r="BY22" i="3"/>
  <c r="BZ22" i="3"/>
  <c r="BV23" i="3"/>
  <c r="BW23" i="3"/>
  <c r="BX23" i="3"/>
  <c r="BY23" i="3"/>
  <c r="BZ23" i="3"/>
  <c r="BV24" i="3"/>
  <c r="BW24" i="3"/>
  <c r="BX24" i="3"/>
  <c r="BY24" i="3"/>
  <c r="BZ24" i="3"/>
  <c r="BV25" i="3"/>
  <c r="BW25" i="3"/>
  <c r="BX25" i="3"/>
  <c r="BY25" i="3"/>
  <c r="BZ25" i="3"/>
  <c r="BV26" i="3"/>
  <c r="BW26" i="3"/>
  <c r="BX26" i="3"/>
  <c r="BY26" i="3"/>
  <c r="BZ26" i="3"/>
  <c r="BW17" i="3"/>
  <c r="BX17" i="3"/>
  <c r="BY17" i="3"/>
  <c r="BZ17" i="3"/>
  <c r="BV17" i="3"/>
  <c r="BM18" i="3"/>
  <c r="BN18" i="3"/>
  <c r="BO18" i="3"/>
  <c r="BP18" i="3"/>
  <c r="BQ18" i="3"/>
  <c r="BR18" i="3"/>
  <c r="BS18" i="3"/>
  <c r="BT18" i="3"/>
  <c r="BM19" i="3"/>
  <c r="BN19" i="3"/>
  <c r="BO19" i="3"/>
  <c r="BP19" i="3"/>
  <c r="BQ19" i="3"/>
  <c r="BR19" i="3"/>
  <c r="BS19" i="3"/>
  <c r="BT19" i="3"/>
  <c r="BM20" i="3"/>
  <c r="BN20" i="3"/>
  <c r="BO20" i="3"/>
  <c r="BP20" i="3"/>
  <c r="BQ20" i="3"/>
  <c r="BR20" i="3"/>
  <c r="BS20" i="3"/>
  <c r="BT20" i="3"/>
  <c r="BM21" i="3"/>
  <c r="BN21" i="3"/>
  <c r="BO21" i="3"/>
  <c r="BP21" i="3"/>
  <c r="BQ21" i="3"/>
  <c r="BR21" i="3"/>
  <c r="BS21" i="3"/>
  <c r="BT21" i="3"/>
  <c r="BM22" i="3"/>
  <c r="BN22" i="3"/>
  <c r="BO22" i="3"/>
  <c r="BP22" i="3"/>
  <c r="BQ22" i="3"/>
  <c r="BR22" i="3"/>
  <c r="BS22" i="3"/>
  <c r="BT22" i="3"/>
  <c r="BM23" i="3"/>
  <c r="BN23" i="3"/>
  <c r="BO23" i="3"/>
  <c r="BP23" i="3"/>
  <c r="BQ23" i="3"/>
  <c r="BR23" i="3"/>
  <c r="BS23" i="3"/>
  <c r="BT23" i="3"/>
  <c r="BM24" i="3"/>
  <c r="BN24" i="3"/>
  <c r="BO24" i="3"/>
  <c r="BP24" i="3"/>
  <c r="BQ24" i="3"/>
  <c r="BR24" i="3"/>
  <c r="BS24" i="3"/>
  <c r="BT24" i="3"/>
  <c r="BM25" i="3"/>
  <c r="BN25" i="3"/>
  <c r="BO25" i="3"/>
  <c r="BP25" i="3"/>
  <c r="BQ25" i="3"/>
  <c r="BR25" i="3"/>
  <c r="BS25" i="3"/>
  <c r="BT25" i="3"/>
  <c r="BM26" i="3"/>
  <c r="BN26" i="3"/>
  <c r="BO26" i="3"/>
  <c r="BP26" i="3"/>
  <c r="BQ26" i="3"/>
  <c r="BR26" i="3"/>
  <c r="BS26" i="3"/>
  <c r="BT26" i="3"/>
  <c r="BN17" i="3"/>
  <c r="BO17" i="3"/>
  <c r="BP17" i="3"/>
  <c r="BQ17" i="3"/>
  <c r="BR17" i="3"/>
  <c r="BS17" i="3"/>
  <c r="BT17" i="3"/>
  <c r="BM17" i="3"/>
  <c r="BC18" i="3"/>
  <c r="BD18" i="3"/>
  <c r="BE18" i="3"/>
  <c r="BF18" i="3"/>
  <c r="BG18" i="3"/>
  <c r="BH18" i="3"/>
  <c r="BI18" i="3"/>
  <c r="BJ18" i="3"/>
  <c r="BK18" i="3"/>
  <c r="BC19" i="3"/>
  <c r="BD19" i="3"/>
  <c r="BE19" i="3"/>
  <c r="BF19" i="3"/>
  <c r="BG19" i="3"/>
  <c r="BH19" i="3"/>
  <c r="BI19" i="3"/>
  <c r="BJ19" i="3"/>
  <c r="BK19" i="3"/>
  <c r="BC20" i="3"/>
  <c r="BD20" i="3"/>
  <c r="BE20" i="3"/>
  <c r="BF20" i="3"/>
  <c r="BG20" i="3"/>
  <c r="BH20" i="3"/>
  <c r="BI20" i="3"/>
  <c r="BJ20" i="3"/>
  <c r="BK20" i="3"/>
  <c r="BC21" i="3"/>
  <c r="BD21" i="3"/>
  <c r="BE21" i="3"/>
  <c r="BF21" i="3"/>
  <c r="BG21" i="3"/>
  <c r="BH21" i="3"/>
  <c r="BI21" i="3"/>
  <c r="BJ21" i="3"/>
  <c r="BK21" i="3"/>
  <c r="BC22" i="3"/>
  <c r="BD22" i="3"/>
  <c r="BE22" i="3"/>
  <c r="BF22" i="3"/>
  <c r="BG22" i="3"/>
  <c r="BH22" i="3"/>
  <c r="BI22" i="3"/>
  <c r="BJ22" i="3"/>
  <c r="BK22" i="3"/>
  <c r="BC23" i="3"/>
  <c r="BD23" i="3"/>
  <c r="BE23" i="3"/>
  <c r="BF23" i="3"/>
  <c r="BG23" i="3"/>
  <c r="BH23" i="3"/>
  <c r="BI23" i="3"/>
  <c r="BJ23" i="3"/>
  <c r="BK23" i="3"/>
  <c r="BC24" i="3"/>
  <c r="BD24" i="3"/>
  <c r="BE24" i="3"/>
  <c r="BF24" i="3"/>
  <c r="BG24" i="3"/>
  <c r="BH24" i="3"/>
  <c r="BI24" i="3"/>
  <c r="BJ24" i="3"/>
  <c r="BK24" i="3"/>
  <c r="BC25" i="3"/>
  <c r="BD25" i="3"/>
  <c r="BE25" i="3"/>
  <c r="BF25" i="3"/>
  <c r="BG25" i="3"/>
  <c r="BH25" i="3"/>
  <c r="BI25" i="3"/>
  <c r="BJ25" i="3"/>
  <c r="BK25" i="3"/>
  <c r="BC26" i="3"/>
  <c r="BD26" i="3"/>
  <c r="BE26" i="3"/>
  <c r="BF26" i="3"/>
  <c r="BG26" i="3"/>
  <c r="BH26" i="3"/>
  <c r="BI26" i="3"/>
  <c r="BJ26" i="3"/>
  <c r="BK26" i="3"/>
  <c r="BD17" i="3"/>
  <c r="BE17" i="3"/>
  <c r="BF17" i="3"/>
  <c r="BG17" i="3"/>
  <c r="BH17" i="3"/>
  <c r="BI17" i="3"/>
  <c r="BJ17" i="3"/>
  <c r="BK17" i="3"/>
  <c r="BC17" i="3"/>
  <c r="AS18" i="3"/>
  <c r="AT18" i="3"/>
  <c r="AU18" i="3"/>
  <c r="AV18" i="3"/>
  <c r="AW18" i="3"/>
  <c r="AX18" i="3"/>
  <c r="AY18" i="3"/>
  <c r="AZ18" i="3"/>
  <c r="BA18" i="3"/>
  <c r="AS19" i="3"/>
  <c r="AT19" i="3"/>
  <c r="AU19" i="3"/>
  <c r="AV19" i="3"/>
  <c r="AW19" i="3"/>
  <c r="AX19" i="3"/>
  <c r="AY19" i="3"/>
  <c r="AZ19" i="3"/>
  <c r="BA19" i="3"/>
  <c r="AS20" i="3"/>
  <c r="AT20" i="3"/>
  <c r="AU20" i="3"/>
  <c r="AV20" i="3"/>
  <c r="AW20" i="3"/>
  <c r="AX20" i="3"/>
  <c r="AY20" i="3"/>
  <c r="AZ20" i="3"/>
  <c r="BA20" i="3"/>
  <c r="AS21" i="3"/>
  <c r="AT21" i="3"/>
  <c r="AU21" i="3"/>
  <c r="AV21" i="3"/>
  <c r="AW21" i="3"/>
  <c r="AX21" i="3"/>
  <c r="AY21" i="3"/>
  <c r="AZ21" i="3"/>
  <c r="BA21" i="3"/>
  <c r="AS22" i="3"/>
  <c r="AT22" i="3"/>
  <c r="AU22" i="3"/>
  <c r="AV22" i="3"/>
  <c r="AW22" i="3"/>
  <c r="AX22" i="3"/>
  <c r="AY22" i="3"/>
  <c r="AZ22" i="3"/>
  <c r="BA22" i="3"/>
  <c r="AS23" i="3"/>
  <c r="AT23" i="3"/>
  <c r="AU23" i="3"/>
  <c r="AV23" i="3"/>
  <c r="AW23" i="3"/>
  <c r="AX23" i="3"/>
  <c r="AY23" i="3"/>
  <c r="AZ23" i="3"/>
  <c r="BA23" i="3"/>
  <c r="AS24" i="3"/>
  <c r="AT24" i="3"/>
  <c r="AU24" i="3"/>
  <c r="AV24" i="3"/>
  <c r="AW24" i="3"/>
  <c r="AX24" i="3"/>
  <c r="AY24" i="3"/>
  <c r="AZ24" i="3"/>
  <c r="BA24" i="3"/>
  <c r="AS25" i="3"/>
  <c r="AT25" i="3"/>
  <c r="AU25" i="3"/>
  <c r="AV25" i="3"/>
  <c r="AW25" i="3"/>
  <c r="AX25" i="3"/>
  <c r="AY25" i="3"/>
  <c r="AZ25" i="3"/>
  <c r="BA25" i="3"/>
  <c r="AS26" i="3"/>
  <c r="AT26" i="3"/>
  <c r="AU26" i="3"/>
  <c r="AV26" i="3"/>
  <c r="AW26" i="3"/>
  <c r="AX26" i="3"/>
  <c r="AY26" i="3"/>
  <c r="AZ26" i="3"/>
  <c r="BA26" i="3"/>
  <c r="AT17" i="3"/>
  <c r="AU17" i="3"/>
  <c r="AV17" i="3"/>
  <c r="AW17" i="3"/>
  <c r="AX17" i="3"/>
  <c r="AY17" i="3"/>
  <c r="AZ17" i="3"/>
  <c r="BA17" i="3"/>
  <c r="AS17" i="3"/>
  <c r="AI18" i="3"/>
  <c r="AJ18" i="3"/>
  <c r="AK18" i="3"/>
  <c r="AL18" i="3"/>
  <c r="AM18" i="3"/>
  <c r="AN18" i="3"/>
  <c r="AO18" i="3"/>
  <c r="AP18" i="3"/>
  <c r="AQ18" i="3"/>
  <c r="AI19" i="3"/>
  <c r="AJ19" i="3"/>
  <c r="AK19" i="3"/>
  <c r="AL19" i="3"/>
  <c r="AM19" i="3"/>
  <c r="AN19" i="3"/>
  <c r="AO19" i="3"/>
  <c r="AP19" i="3"/>
  <c r="AQ19" i="3"/>
  <c r="AI20" i="3"/>
  <c r="AJ20" i="3"/>
  <c r="AK20" i="3"/>
  <c r="AL20" i="3"/>
  <c r="AM20" i="3"/>
  <c r="AN20" i="3"/>
  <c r="AO20" i="3"/>
  <c r="AP20" i="3"/>
  <c r="AQ20" i="3"/>
  <c r="AI21" i="3"/>
  <c r="AJ21" i="3"/>
  <c r="AK21" i="3"/>
  <c r="AL21" i="3"/>
  <c r="AM21" i="3"/>
  <c r="AN21" i="3"/>
  <c r="AO21" i="3"/>
  <c r="AP21" i="3"/>
  <c r="AQ21" i="3"/>
  <c r="AI22" i="3"/>
  <c r="AJ22" i="3"/>
  <c r="AK22" i="3"/>
  <c r="AL22" i="3"/>
  <c r="AM22" i="3"/>
  <c r="AN22" i="3"/>
  <c r="AO22" i="3"/>
  <c r="AP22" i="3"/>
  <c r="AQ22" i="3"/>
  <c r="AI23" i="3"/>
  <c r="AJ23" i="3"/>
  <c r="AK23" i="3"/>
  <c r="AL23" i="3"/>
  <c r="AM23" i="3"/>
  <c r="AN23" i="3"/>
  <c r="AO23" i="3"/>
  <c r="AP23" i="3"/>
  <c r="AQ23" i="3"/>
  <c r="AI24" i="3"/>
  <c r="AJ24" i="3"/>
  <c r="AK24" i="3"/>
  <c r="AL24" i="3"/>
  <c r="AM24" i="3"/>
  <c r="AN24" i="3"/>
  <c r="AO24" i="3"/>
  <c r="AP24" i="3"/>
  <c r="AQ24" i="3"/>
  <c r="AI25" i="3"/>
  <c r="AJ25" i="3"/>
  <c r="AK25" i="3"/>
  <c r="AL25" i="3"/>
  <c r="AM25" i="3"/>
  <c r="AN25" i="3"/>
  <c r="AO25" i="3"/>
  <c r="AP25" i="3"/>
  <c r="AQ25" i="3"/>
  <c r="AI26" i="3"/>
  <c r="AJ26" i="3"/>
  <c r="AK26" i="3"/>
  <c r="AL26" i="3"/>
  <c r="AM26" i="3"/>
  <c r="AN26" i="3"/>
  <c r="AO26" i="3"/>
  <c r="AP26" i="3"/>
  <c r="AQ26" i="3"/>
  <c r="AJ17" i="3"/>
  <c r="AK17" i="3"/>
  <c r="AL17" i="3"/>
  <c r="AM17" i="3"/>
  <c r="AN17" i="3"/>
  <c r="AO17" i="3"/>
  <c r="AP17" i="3"/>
  <c r="AQ17" i="3"/>
  <c r="AI17" i="3"/>
  <c r="AE18" i="3"/>
  <c r="AF18" i="3"/>
  <c r="AG18" i="3"/>
  <c r="AE19" i="3"/>
  <c r="AF19" i="3"/>
  <c r="AG19" i="3"/>
  <c r="AE20" i="3"/>
  <c r="AF20" i="3"/>
  <c r="AG20" i="3"/>
  <c r="AE21" i="3"/>
  <c r="AF21" i="3"/>
  <c r="AG21" i="3"/>
  <c r="AE22" i="3"/>
  <c r="AF22" i="3"/>
  <c r="AG22" i="3"/>
  <c r="AE23" i="3"/>
  <c r="AF23" i="3"/>
  <c r="AG23" i="3"/>
  <c r="AE24" i="3"/>
  <c r="AF24" i="3"/>
  <c r="AG24" i="3"/>
  <c r="AE25" i="3"/>
  <c r="AF25" i="3"/>
  <c r="AG25" i="3"/>
  <c r="AE26" i="3"/>
  <c r="AF26" i="3"/>
  <c r="AG26" i="3"/>
  <c r="AF17" i="3"/>
  <c r="AG17" i="3"/>
  <c r="AE17" i="3"/>
  <c r="AA18" i="3"/>
  <c r="AB18" i="3"/>
  <c r="AC18" i="3"/>
  <c r="AA19" i="3"/>
  <c r="AB19" i="3"/>
  <c r="AC19" i="3"/>
  <c r="AA20" i="3"/>
  <c r="AB20" i="3"/>
  <c r="AC20" i="3"/>
  <c r="AA21" i="3"/>
  <c r="AB21" i="3"/>
  <c r="AC21" i="3"/>
  <c r="AA22" i="3"/>
  <c r="AB22" i="3"/>
  <c r="AC22" i="3"/>
  <c r="AA23" i="3"/>
  <c r="AB23" i="3"/>
  <c r="AC23" i="3"/>
  <c r="AA24" i="3"/>
  <c r="AB24" i="3"/>
  <c r="AC24" i="3"/>
  <c r="AA25" i="3"/>
  <c r="AB25" i="3"/>
  <c r="AC25" i="3"/>
  <c r="AA26" i="3"/>
  <c r="AB26" i="3"/>
  <c r="AC26" i="3"/>
  <c r="AB17" i="3"/>
  <c r="AC17" i="3"/>
  <c r="AA17" i="3"/>
  <c r="Q18" i="3"/>
  <c r="R18" i="3"/>
  <c r="S18" i="3"/>
  <c r="T18" i="3"/>
  <c r="U18" i="3"/>
  <c r="V18" i="3"/>
  <c r="W18" i="3"/>
  <c r="X18" i="3"/>
  <c r="Y18" i="3"/>
  <c r="Q19" i="3"/>
  <c r="R19" i="3"/>
  <c r="S19" i="3"/>
  <c r="T19" i="3"/>
  <c r="U19" i="3"/>
  <c r="V19" i="3"/>
  <c r="W19" i="3"/>
  <c r="X19" i="3"/>
  <c r="Y19" i="3"/>
  <c r="Q20" i="3"/>
  <c r="R20" i="3"/>
  <c r="S20" i="3"/>
  <c r="T20" i="3"/>
  <c r="U20" i="3"/>
  <c r="V20" i="3"/>
  <c r="W20" i="3"/>
  <c r="X20" i="3"/>
  <c r="Y20" i="3"/>
  <c r="Q21" i="3"/>
  <c r="R21" i="3"/>
  <c r="S21" i="3"/>
  <c r="T21" i="3"/>
  <c r="U21" i="3"/>
  <c r="V21" i="3"/>
  <c r="W21" i="3"/>
  <c r="X21" i="3"/>
  <c r="Y21" i="3"/>
  <c r="Q22" i="3"/>
  <c r="R22" i="3"/>
  <c r="S22" i="3"/>
  <c r="T22" i="3"/>
  <c r="U22" i="3"/>
  <c r="V22" i="3"/>
  <c r="W22" i="3"/>
  <c r="X22" i="3"/>
  <c r="Y22" i="3"/>
  <c r="Q23" i="3"/>
  <c r="R23" i="3"/>
  <c r="S23" i="3"/>
  <c r="T23" i="3"/>
  <c r="U23" i="3"/>
  <c r="V23" i="3"/>
  <c r="W23" i="3"/>
  <c r="X23" i="3"/>
  <c r="Y23" i="3"/>
  <c r="Q24" i="3"/>
  <c r="R24" i="3"/>
  <c r="S24" i="3"/>
  <c r="T24" i="3"/>
  <c r="U24" i="3"/>
  <c r="V24" i="3"/>
  <c r="W24" i="3"/>
  <c r="X24" i="3"/>
  <c r="Y24" i="3"/>
  <c r="Q25" i="3"/>
  <c r="R25" i="3"/>
  <c r="S25" i="3"/>
  <c r="T25" i="3"/>
  <c r="U25" i="3"/>
  <c r="V25" i="3"/>
  <c r="W25" i="3"/>
  <c r="X25" i="3"/>
  <c r="Y25" i="3"/>
  <c r="Q26" i="3"/>
  <c r="R26" i="3"/>
  <c r="S26" i="3"/>
  <c r="T26" i="3"/>
  <c r="U26" i="3"/>
  <c r="V26" i="3"/>
  <c r="W26" i="3"/>
  <c r="X26" i="3"/>
  <c r="Y26" i="3"/>
  <c r="R17" i="3"/>
  <c r="S17" i="3"/>
  <c r="T17" i="3"/>
  <c r="U17" i="3"/>
  <c r="V17" i="3"/>
  <c r="W17" i="3"/>
  <c r="X17" i="3"/>
  <c r="Y17" i="3"/>
  <c r="Q17" i="3"/>
  <c r="N18" i="3"/>
  <c r="O18" i="3"/>
  <c r="N19" i="3"/>
  <c r="O19" i="3"/>
  <c r="N20" i="3"/>
  <c r="O20" i="3"/>
  <c r="N21" i="3"/>
  <c r="O21" i="3"/>
  <c r="N22" i="3"/>
  <c r="O22" i="3"/>
  <c r="N23" i="3"/>
  <c r="O23" i="3"/>
  <c r="N24" i="3"/>
  <c r="O24" i="3"/>
  <c r="N25" i="3"/>
  <c r="O25" i="3"/>
  <c r="N26" i="3"/>
  <c r="O26" i="3"/>
  <c r="O17" i="3"/>
  <c r="N17" i="3"/>
  <c r="C18" i="3"/>
  <c r="C19" i="3"/>
  <c r="C20" i="3"/>
  <c r="C21" i="3"/>
  <c r="C22" i="3"/>
  <c r="C23" i="3"/>
  <c r="C24" i="3"/>
  <c r="C25" i="3"/>
  <c r="C26" i="3"/>
  <c r="D17" i="3"/>
  <c r="E17" i="3"/>
  <c r="F17" i="3"/>
  <c r="G17" i="3"/>
  <c r="H17" i="3"/>
  <c r="I17" i="3"/>
  <c r="J17" i="3"/>
  <c r="K17" i="3"/>
  <c r="L17" i="3"/>
  <c r="C17" i="3"/>
  <c r="P17" i="3"/>
  <c r="M17" i="3"/>
  <c r="BL17" i="3"/>
  <c r="BU17" i="3"/>
  <c r="BL18" i="3"/>
  <c r="BU18" i="3"/>
  <c r="BL19" i="3"/>
  <c r="BU19" i="3"/>
  <c r="BL20" i="3"/>
  <c r="BU20" i="3"/>
  <c r="BL21" i="3"/>
  <c r="BU21" i="3"/>
  <c r="BL22" i="3"/>
  <c r="BU22" i="3"/>
  <c r="BL23" i="3"/>
  <c r="BU23" i="3"/>
  <c r="BL24" i="3"/>
  <c r="BU24" i="3"/>
  <c r="BL25" i="3"/>
  <c r="BU25" i="3"/>
  <c r="BL26" i="3"/>
  <c r="BU26" i="3"/>
  <c r="AR17" i="3"/>
  <c r="BB17" i="3"/>
  <c r="AR18" i="3"/>
  <c r="BB18" i="3"/>
  <c r="AR19" i="3"/>
  <c r="BB19" i="3"/>
  <c r="AR20" i="3"/>
  <c r="BB20" i="3"/>
  <c r="AR21" i="3"/>
  <c r="BB21" i="3"/>
  <c r="AR22" i="3"/>
  <c r="BB22" i="3"/>
  <c r="AR23" i="3"/>
  <c r="BB23" i="3"/>
  <c r="AR24" i="3"/>
  <c r="BB24" i="3"/>
  <c r="AR25" i="3"/>
  <c r="BB25" i="3"/>
  <c r="AR26" i="3"/>
  <c r="BB26" i="3"/>
  <c r="Z17" i="3"/>
  <c r="AD17" i="3"/>
  <c r="AH17" i="3"/>
  <c r="Z18" i="3"/>
  <c r="AD18" i="3"/>
  <c r="AH18" i="3"/>
  <c r="Z19" i="3"/>
  <c r="AD19" i="3"/>
  <c r="AH19" i="3"/>
  <c r="Z20" i="3"/>
  <c r="AD20" i="3"/>
  <c r="AH20" i="3"/>
  <c r="Z21" i="3"/>
  <c r="AD21" i="3"/>
  <c r="AH21" i="3"/>
  <c r="Z22" i="3"/>
  <c r="AD22" i="3"/>
  <c r="AH22" i="3"/>
  <c r="Z23" i="3"/>
  <c r="AD23" i="3"/>
  <c r="AH23" i="3"/>
  <c r="Z24" i="3"/>
  <c r="AD24" i="3"/>
  <c r="AH24" i="3"/>
  <c r="Z25" i="3"/>
  <c r="AD25" i="3"/>
  <c r="AH25" i="3"/>
  <c r="Z26" i="3"/>
  <c r="AD26" i="3"/>
  <c r="AH26" i="3"/>
  <c r="B18" i="3"/>
  <c r="M18" i="3"/>
  <c r="P18" i="3"/>
  <c r="B19" i="3"/>
  <c r="M19" i="3"/>
  <c r="P19" i="3"/>
  <c r="B20" i="3"/>
  <c r="M20" i="3"/>
  <c r="P20" i="3"/>
  <c r="B21" i="3"/>
  <c r="M21" i="3"/>
  <c r="P21" i="3"/>
  <c r="B22" i="3"/>
  <c r="M22" i="3"/>
  <c r="P22" i="3"/>
  <c r="B23" i="3"/>
  <c r="M23" i="3"/>
  <c r="P23" i="3"/>
  <c r="B24" i="3"/>
  <c r="M24" i="3"/>
  <c r="P24" i="3"/>
  <c r="B25" i="3"/>
  <c r="M25" i="3"/>
  <c r="P25" i="3"/>
  <c r="B26" i="3"/>
  <c r="M26" i="3"/>
  <c r="P26" i="3"/>
</calcChain>
</file>

<file path=xl/sharedStrings.xml><?xml version="1.0" encoding="utf-8"?>
<sst xmlns="http://schemas.openxmlformats.org/spreadsheetml/2006/main" count="1699" uniqueCount="254">
  <si>
    <t>Export</t>
  </si>
  <si>
    <t>0 Food and live animals ;</t>
  </si>
  <si>
    <t>00 Live animals (excl. fish (not marine mammals) crustaceans, molluscs and aquatic invertebrates of SITC Division 03) ;</t>
  </si>
  <si>
    <t>01 Meat and meat preparations ;</t>
  </si>
  <si>
    <t>02 Dairy products and birds’ eggs ;</t>
  </si>
  <si>
    <t>03 Fish (excl. marine mammals) crustaceans, molluscs and aquatic invertebrates, and preparations thereof (excl. extracts and juices of fish, crustaceans, molluscs or other aquatic invertebrates, prepared or preserved of SITC 01710) ;</t>
  </si>
  <si>
    <t>04 Cereals and cereal preparations ;</t>
  </si>
  <si>
    <t>05 Vegetables and fruit ;</t>
  </si>
  <si>
    <t>06 Sugars, sugar preparations and honey ;</t>
  </si>
  <si>
    <t>07 Coffee, tea, cocoa, spices, and manufactures thereof ;</t>
  </si>
  <si>
    <t>08 Feeding stuff for animals (excl. unmilled cereals) ;</t>
  </si>
  <si>
    <t>09 Miscellaneous edible products and preparations ;</t>
  </si>
  <si>
    <t>1 Beverages and tobacco ;</t>
  </si>
  <si>
    <t>11 Beverages ;</t>
  </si>
  <si>
    <t>12 Tobacco and tobacco manufactures ;</t>
  </si>
  <si>
    <t>2 Crude materials, inedible, except fuels ;</t>
  </si>
  <si>
    <t>21 Hides, skins and furskins, raw ;</t>
  </si>
  <si>
    <t>22 Oil-seeds and oleaginous fruits ;</t>
  </si>
  <si>
    <t>23 Crude rubber (incl. synthetic and reclaimed) ;</t>
  </si>
  <si>
    <t>24 Cork and wood ;</t>
  </si>
  <si>
    <t>25 Pulp and waste paper ;</t>
  </si>
  <si>
    <t>26 Textile fibres (excl. wool tops and other combed wool) and their wastes, not manufactured into yarn or fabric ;</t>
  </si>
  <si>
    <t>27 Crude fertilizers (excl. those of Division 56) and crude minerals (excl. coal, petroleum and precious stones) ;</t>
  </si>
  <si>
    <t>28 Metalliferous ores and metal scrap ;</t>
  </si>
  <si>
    <t>29 Crude animal and vegetable materials, nes ;</t>
  </si>
  <si>
    <t>3 Mineral fuels, lubricants and related materials ;</t>
  </si>
  <si>
    <t>32 Coal, coke and briquettes ;</t>
  </si>
  <si>
    <t>33 Petroleum, petroleum products and related materials ;</t>
  </si>
  <si>
    <t>34 Gas, natural and manufactured ;</t>
  </si>
  <si>
    <t>4 Animal and vegetable oils, fats and waxes ;</t>
  </si>
  <si>
    <t>41 Animal oils and fats ;</t>
  </si>
  <si>
    <t>42 Fixed vegetable fats and oils, crude, refined or fractionated ;</t>
  </si>
  <si>
    <t>43 Animal or vegetable fats and oils, processed; waxes of animal or vegetable origin; inedible mixtures or preparations of animal or vegetable fats or oils, nes ;</t>
  </si>
  <si>
    <t>5 Chemicals and related products, nes ;</t>
  </si>
  <si>
    <t>51 Organic chemicals ;</t>
  </si>
  <si>
    <t>52 Inorganic chemicals ;</t>
  </si>
  <si>
    <t>53 Dyeing, tanning and colouring materials ;</t>
  </si>
  <si>
    <t>54 Medicinal and pharmaceutical products ;</t>
  </si>
  <si>
    <t>55 Essential oils and resinoids and perfume materials; toilet, polishing and cleansing preparations ;</t>
  </si>
  <si>
    <t>56 Fertilisers (excl. those of group 272) ;</t>
  </si>
  <si>
    <t>57 Plastics in primary forms ;</t>
  </si>
  <si>
    <t>58 Plastics in non-primary forms ;</t>
  </si>
  <si>
    <t>59 Chemical materials and products, nes ;</t>
  </si>
  <si>
    <t>6 Manufactured goods classified chiefly by material ;</t>
  </si>
  <si>
    <t>61 Leather, leather manufactures, nes, and dressed furskins ;</t>
  </si>
  <si>
    <t>62 Rubber manufactures, nes ;</t>
  </si>
  <si>
    <t>63 Cork and wood manufactures (excl. furniture) ;</t>
  </si>
  <si>
    <t>64 Paper, paperboard and articles of paper pulp, of paper or of paperboard ;</t>
  </si>
  <si>
    <t>65 Textile yarn, fabrics, made-up articles nes, and related products ;</t>
  </si>
  <si>
    <t>66 Non-metallic mineral manufactures, nes ;</t>
  </si>
  <si>
    <t>67 Iron and steel ;</t>
  </si>
  <si>
    <t>68 Non-ferrous metals ;</t>
  </si>
  <si>
    <t>69 Manufactures of metals, nes ;</t>
  </si>
  <si>
    <t>7 Machinery and transport equipment ;</t>
  </si>
  <si>
    <t>71 Power generating machinery and equipment ;</t>
  </si>
  <si>
    <t>72 Machinery specialized for particular industries ;</t>
  </si>
  <si>
    <t>73 Metalworking machinery ;</t>
  </si>
  <si>
    <t>74 General industrial machinery and equipment, nes, and machine parts, nes ;</t>
  </si>
  <si>
    <t>75 Office machines and automatic data processing machines ;</t>
  </si>
  <si>
    <t>76 Telecommunications and sound recording and reproducing apparatus and equipment ;</t>
  </si>
  <si>
    <t>77 Electrical machinery, apparatus and appliances, nes, and electrical parts thereof (incl. non electrical counterparts, nes, of electrical household type equipment) ;</t>
  </si>
  <si>
    <t>78 Road vehicles (incl. air-cushion vehicles) ;</t>
  </si>
  <si>
    <t>79 Transport equipment (excl. road vehicles) ;</t>
  </si>
  <si>
    <t>8 Miscellaneous manufactured articles ;</t>
  </si>
  <si>
    <t>81 Prefabricated buildings and sanitary, plumbing, heating and lighting fixtures and fittings, nes ;</t>
  </si>
  <si>
    <t>82 Furniture and parts thereof; bedding, mattresses, mattress supports, cushions and similar stuffed furnishings ;</t>
  </si>
  <si>
    <t>83 Travel goods, handbags and similar containers ;</t>
  </si>
  <si>
    <t>84 Articles of apparel and clothing accessories ;</t>
  </si>
  <si>
    <t>85 Footwear ;</t>
  </si>
  <si>
    <t>87 Professional, scientific and controlling instruments and apparatus, nes ;</t>
  </si>
  <si>
    <t>88 Photographic apparatus, equipment and supplies and optical goods, nes; watches and clocks ;</t>
  </si>
  <si>
    <t>89 Miscellaneous manufactured articles, nes ;</t>
  </si>
  <si>
    <t>9 Commodities and transactions not classified elsewhere in the SITC ;</t>
  </si>
  <si>
    <t>93 Special transactions and commodities not classified according to kind ;</t>
  </si>
  <si>
    <t>95 Gold coin whether or not legal tender, and other coin being legal tender ;</t>
  </si>
  <si>
    <t>96 Coin (excl. gold coin) not being legal tender ;</t>
  </si>
  <si>
    <t>97 Gold, non-monetary (excl. gold ores and concentrates) ;</t>
  </si>
  <si>
    <t>98 Combined confidential items excluding some of SITC 28099 (exports only) and some of SITC 51099 (imports only) ;</t>
  </si>
  <si>
    <t>-1 TOTAL ;</t>
  </si>
  <si>
    <t>Unit</t>
  </si>
  <si>
    <t>$ Millions</t>
  </si>
  <si>
    <t>Series ID</t>
  </si>
  <si>
    <t>A1827804K</t>
  </si>
  <si>
    <t>A1827805L</t>
  </si>
  <si>
    <t>A1827806R</t>
  </si>
  <si>
    <t>A1827807T</t>
  </si>
  <si>
    <t>A1827808V</t>
  </si>
  <si>
    <t>A1827809W</t>
  </si>
  <si>
    <t>A1827810F</t>
  </si>
  <si>
    <t>A1827811J</t>
  </si>
  <si>
    <t>A1827812K</t>
  </si>
  <si>
    <t>A1827813L</t>
  </si>
  <si>
    <t>A1827814R</t>
  </si>
  <si>
    <t>A1827815T</t>
  </si>
  <si>
    <t>A1827816V</t>
  </si>
  <si>
    <t>A1827817W</t>
  </si>
  <si>
    <t>A1827818X</t>
  </si>
  <si>
    <t>A1827819A</t>
  </si>
  <si>
    <t>A1827820K</t>
  </si>
  <si>
    <t>A1827821L</t>
  </si>
  <si>
    <t>A1827822R</t>
  </si>
  <si>
    <t>A1827823T</t>
  </si>
  <si>
    <t>A1827824V</t>
  </si>
  <si>
    <t>A1827825W</t>
  </si>
  <si>
    <t>A1827826X</t>
  </si>
  <si>
    <t>A1827827A</t>
  </si>
  <si>
    <t>A1827828C</t>
  </si>
  <si>
    <t>A1827829F</t>
  </si>
  <si>
    <t>A1827830R</t>
  </si>
  <si>
    <t>A1827831T</t>
  </si>
  <si>
    <t>A1827832V</t>
  </si>
  <si>
    <t>A1827833W</t>
  </si>
  <si>
    <t>A1827834X</t>
  </si>
  <si>
    <t>A1827835A</t>
  </si>
  <si>
    <t>A1827836C</t>
  </si>
  <si>
    <t>A1827837F</t>
  </si>
  <si>
    <t>A1827838J</t>
  </si>
  <si>
    <t>A1827839K</t>
  </si>
  <si>
    <t>A1827840V</t>
  </si>
  <si>
    <t>A1827841W</t>
  </si>
  <si>
    <t>A1827842X</t>
  </si>
  <si>
    <t>A1827843A</t>
  </si>
  <si>
    <t>A1827844C</t>
  </si>
  <si>
    <t>A1827845F</t>
  </si>
  <si>
    <t>A1827846J</t>
  </si>
  <si>
    <t>A1827847K</t>
  </si>
  <si>
    <t>A1827848L</t>
  </si>
  <si>
    <t>A1827849R</t>
  </si>
  <si>
    <t>A1827850X</t>
  </si>
  <si>
    <t>A1827851A</t>
  </si>
  <si>
    <t>A1827852C</t>
  </si>
  <si>
    <t>A1827853F</t>
  </si>
  <si>
    <t>A1827854J</t>
  </si>
  <si>
    <t>A1827855K</t>
  </si>
  <si>
    <t>A1827856L</t>
  </si>
  <si>
    <t>A1827857R</t>
  </si>
  <si>
    <t>A1827858T</t>
  </si>
  <si>
    <t>A1827859V</t>
  </si>
  <si>
    <t>A1827860C</t>
  </si>
  <si>
    <t>A1827861F</t>
  </si>
  <si>
    <t>A1827862J</t>
  </si>
  <si>
    <t>A1827863K</t>
  </si>
  <si>
    <t>A1827864L</t>
  </si>
  <si>
    <t>A1827865R</t>
  </si>
  <si>
    <t>A1827866T</t>
  </si>
  <si>
    <t>A1827867V</t>
  </si>
  <si>
    <t>A1827868W</t>
  </si>
  <si>
    <t>A1827869X</t>
  </si>
  <si>
    <t>A1827870J</t>
  </si>
  <si>
    <t>A1827871K</t>
  </si>
  <si>
    <t>A1827872L</t>
  </si>
  <si>
    <t>A1827873R</t>
  </si>
  <si>
    <t>A1827874T</t>
  </si>
  <si>
    <t>A1827875V</t>
  </si>
  <si>
    <t>A1827876W</t>
  </si>
  <si>
    <t>A1827877X</t>
  </si>
  <si>
    <t>A1827878A</t>
  </si>
  <si>
    <t>A1827879C</t>
  </si>
  <si>
    <t>A1827880L</t>
  </si>
  <si>
    <t>A1827881R</t>
  </si>
  <si>
    <t>Y2016</t>
  </si>
  <si>
    <t>Y2017</t>
  </si>
  <si>
    <t>Y2018</t>
  </si>
  <si>
    <t>Y2019</t>
  </si>
  <si>
    <t>Y2020</t>
  </si>
  <si>
    <t>Y2021</t>
  </si>
  <si>
    <t>Y2022</t>
  </si>
  <si>
    <t>Y2023</t>
  </si>
  <si>
    <t>Import</t>
  </si>
  <si>
    <t>A1828644C</t>
  </si>
  <si>
    <t>A1828645F</t>
  </si>
  <si>
    <t>A1828646J</t>
  </si>
  <si>
    <t>A1828647K</t>
  </si>
  <si>
    <t>A1828648L</t>
  </si>
  <si>
    <t>A1828649R</t>
  </si>
  <si>
    <t>A1828650X</t>
  </si>
  <si>
    <t>A1828651A</t>
  </si>
  <si>
    <t>A1828652C</t>
  </si>
  <si>
    <t>A1828653F</t>
  </si>
  <si>
    <t>A1828654J</t>
  </si>
  <si>
    <t>A1828655K</t>
  </si>
  <si>
    <t>A1828656L</t>
  </si>
  <si>
    <t>A1828657R</t>
  </si>
  <si>
    <t>A1828658T</t>
  </si>
  <si>
    <t>A1828659V</t>
  </si>
  <si>
    <t>A1828660C</t>
  </si>
  <si>
    <t>A1828661F</t>
  </si>
  <si>
    <t>A1828662J</t>
  </si>
  <si>
    <t>A1828663K</t>
  </si>
  <si>
    <t>A1828664L</t>
  </si>
  <si>
    <t>A1828665R</t>
  </si>
  <si>
    <t>A1828666T</t>
  </si>
  <si>
    <t>A1828667V</t>
  </si>
  <si>
    <t>A1828668W</t>
  </si>
  <si>
    <t>A1828669X</t>
  </si>
  <si>
    <t>A1828670J</t>
  </si>
  <si>
    <t>A1828671K</t>
  </si>
  <si>
    <t>A1828672L</t>
  </si>
  <si>
    <t>A1828673R</t>
  </si>
  <si>
    <t>A1828674T</t>
  </si>
  <si>
    <t>A1828675V</t>
  </si>
  <si>
    <t>A1828676W</t>
  </si>
  <si>
    <t>A1828677X</t>
  </si>
  <si>
    <t>A1828678A</t>
  </si>
  <si>
    <t>A1828679C</t>
  </si>
  <si>
    <t>A1828680L</t>
  </si>
  <si>
    <t>A1828681R</t>
  </si>
  <si>
    <t>A1828682T</t>
  </si>
  <si>
    <t>A1828683V</t>
  </si>
  <si>
    <t>A1828684W</t>
  </si>
  <si>
    <t>A1828685X</t>
  </si>
  <si>
    <t>A1828686A</t>
  </si>
  <si>
    <t>A1828687C</t>
  </si>
  <si>
    <t>A1828688F</t>
  </si>
  <si>
    <t>A1828689J</t>
  </si>
  <si>
    <t>A1828690T</t>
  </si>
  <si>
    <t>A1828691V</t>
  </si>
  <si>
    <t>A1828692W</t>
  </si>
  <si>
    <t>A1828693X</t>
  </si>
  <si>
    <t>A1828694A</t>
  </si>
  <si>
    <t>A1828695C</t>
  </si>
  <si>
    <t>A1828696F</t>
  </si>
  <si>
    <t>A1828697J</t>
  </si>
  <si>
    <t>A1828698K</t>
  </si>
  <si>
    <t>A1828699L</t>
  </si>
  <si>
    <t>A1828700K</t>
  </si>
  <si>
    <t>A1828701L</t>
  </si>
  <si>
    <t>A1828702R</t>
  </si>
  <si>
    <t>A1828703T</t>
  </si>
  <si>
    <t>A1828704V</t>
  </si>
  <si>
    <t>A1828705W</t>
  </si>
  <si>
    <t>A1828706X</t>
  </si>
  <si>
    <t>A1828707A</t>
  </si>
  <si>
    <t>A1828708C</t>
  </si>
  <si>
    <t>A1828709F</t>
  </si>
  <si>
    <t>A1828710R</t>
  </si>
  <si>
    <t>A1828711T</t>
  </si>
  <si>
    <t>A1828712V</t>
  </si>
  <si>
    <t>A1828713W</t>
  </si>
  <si>
    <t>A1828714X</t>
  </si>
  <si>
    <t>A1828715A</t>
  </si>
  <si>
    <t>A1828716C</t>
  </si>
  <si>
    <t>A1828717F</t>
  </si>
  <si>
    <t>A1828718J</t>
  </si>
  <si>
    <t>A1828719K</t>
  </si>
  <si>
    <t>A1828720V</t>
  </si>
  <si>
    <t>A1828721W</t>
  </si>
  <si>
    <t>Y2024</t>
  </si>
  <si>
    <t>Y2025</t>
  </si>
  <si>
    <t>x</t>
  </si>
  <si>
    <t>Export %</t>
  </si>
  <si>
    <t>Import %</t>
  </si>
  <si>
    <t>Time</t>
  </si>
  <si>
    <t>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</si>
</sst>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/>
    <xf numFmtId="10" fontId="0" fillId="0" borderId="0" xfId="1" applyNumberFormat="1" applyFont="1"/>
    <xf numFmtId="10" fontId="0" fillId="2" borderId="0" xfId="1" applyNumberFormat="1" applyFont="1" applyFill="1"/>
    <xf numFmtId="10" fontId="0" fillId="2" borderId="0" xfId="1" applyNumberFormat="1" applyFont="1" applyFill="1" applyAlignment="1">
      <alignment vertical="center"/>
    </xf>
    <xf numFmtId="10" fontId="0" fillId="0" borderId="0" xfId="1" applyNumberFormat="1" applyFont="1" applyAlignment="1">
      <alignment vertical="center"/>
    </xf>
    <xf numFmtId="10" fontId="0" fillId="0" borderId="0" xfId="0" applyNumberFormat="1"/>
    <xf numFmtId="10" fontId="0" fillId="2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CA37"/>
  <sheetViews>
    <sheetView zoomScale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27" sqref="E27"/>
    </sheetView>
  </sheetViews>
  <sheetFormatPr baseColWidth="10" defaultColWidth="8.83203125" defaultRowHeight="15" x14ac:dyDescent="0.2"/>
  <cols>
    <col min="2" max="2" width="11.83203125" customWidth="1"/>
    <col min="3" max="3" width="12.83203125" customWidth="1"/>
    <col min="4" max="4" width="12" customWidth="1"/>
  </cols>
  <sheetData>
    <row r="1" spans="1:7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2">
      <c r="A4" t="s">
        <v>160</v>
      </c>
      <c r="B4">
        <v>32621</v>
      </c>
      <c r="C4">
        <v>1874</v>
      </c>
      <c r="D4">
        <v>11088</v>
      </c>
      <c r="E4">
        <v>2208</v>
      </c>
      <c r="F4">
        <v>1379</v>
      </c>
      <c r="G4">
        <v>7580</v>
      </c>
      <c r="H4">
        <v>4153</v>
      </c>
      <c r="I4">
        <v>319</v>
      </c>
      <c r="J4">
        <v>363</v>
      </c>
      <c r="K4">
        <v>1174</v>
      </c>
      <c r="L4">
        <v>2478</v>
      </c>
      <c r="M4">
        <v>2679</v>
      </c>
      <c r="N4">
        <v>2610</v>
      </c>
      <c r="O4">
        <v>68</v>
      </c>
      <c r="P4">
        <v>83621</v>
      </c>
      <c r="Q4">
        <v>827</v>
      </c>
      <c r="R4">
        <v>1415</v>
      </c>
      <c r="S4">
        <v>7</v>
      </c>
      <c r="T4">
        <v>1769</v>
      </c>
      <c r="U4">
        <v>242</v>
      </c>
      <c r="V4">
        <v>4722</v>
      </c>
      <c r="W4">
        <v>665</v>
      </c>
      <c r="X4">
        <v>73494</v>
      </c>
      <c r="Y4">
        <v>476</v>
      </c>
      <c r="Z4">
        <v>67702</v>
      </c>
      <c r="AA4">
        <v>42273</v>
      </c>
      <c r="AB4">
        <v>6946</v>
      </c>
      <c r="AC4">
        <v>18480</v>
      </c>
      <c r="AD4">
        <v>675</v>
      </c>
      <c r="AE4">
        <v>422</v>
      </c>
      <c r="AF4">
        <v>217</v>
      </c>
      <c r="AG4">
        <v>37</v>
      </c>
      <c r="AH4">
        <v>8367</v>
      </c>
      <c r="AI4">
        <v>227</v>
      </c>
      <c r="AJ4">
        <v>657</v>
      </c>
      <c r="AK4">
        <v>847</v>
      </c>
      <c r="AL4">
        <v>3486</v>
      </c>
      <c r="AM4">
        <v>985</v>
      </c>
      <c r="AN4">
        <v>369</v>
      </c>
      <c r="AO4">
        <v>315</v>
      </c>
      <c r="AP4">
        <v>418</v>
      </c>
      <c r="AQ4">
        <v>1065</v>
      </c>
      <c r="AR4">
        <v>13406</v>
      </c>
      <c r="AS4">
        <v>184</v>
      </c>
      <c r="AT4">
        <v>246</v>
      </c>
      <c r="AU4">
        <v>111</v>
      </c>
      <c r="AV4">
        <v>984</v>
      </c>
      <c r="AW4">
        <v>268</v>
      </c>
      <c r="AX4">
        <v>1060</v>
      </c>
      <c r="AY4">
        <v>602</v>
      </c>
      <c r="AZ4">
        <v>8842</v>
      </c>
      <c r="BA4">
        <v>1107</v>
      </c>
      <c r="BB4">
        <v>15387</v>
      </c>
      <c r="BC4">
        <v>872</v>
      </c>
      <c r="BD4">
        <v>1872</v>
      </c>
      <c r="BE4">
        <v>161</v>
      </c>
      <c r="BF4">
        <v>2269</v>
      </c>
      <c r="BG4">
        <v>1542</v>
      </c>
      <c r="BH4">
        <v>1752</v>
      </c>
      <c r="BI4">
        <v>1691</v>
      </c>
      <c r="BJ4">
        <v>2940</v>
      </c>
      <c r="BK4">
        <v>2290</v>
      </c>
      <c r="BL4">
        <v>6558</v>
      </c>
      <c r="BM4">
        <v>136</v>
      </c>
      <c r="BN4">
        <v>133</v>
      </c>
      <c r="BO4">
        <v>64</v>
      </c>
      <c r="BP4">
        <v>328</v>
      </c>
      <c r="BQ4">
        <v>92</v>
      </c>
      <c r="BR4">
        <v>2532</v>
      </c>
      <c r="BS4">
        <v>409</v>
      </c>
      <c r="BT4">
        <v>2862</v>
      </c>
      <c r="BU4">
        <v>27452</v>
      </c>
      <c r="BV4">
        <v>1563</v>
      </c>
      <c r="BW4">
        <v>989</v>
      </c>
      <c r="BX4">
        <v>1</v>
      </c>
      <c r="BY4">
        <v>18857</v>
      </c>
      <c r="BZ4">
        <v>6043</v>
      </c>
      <c r="CA4">
        <v>258469</v>
      </c>
    </row>
    <row r="5" spans="1:79" x14ac:dyDescent="0.2">
      <c r="A5" t="s">
        <v>161</v>
      </c>
      <c r="B5">
        <v>36596</v>
      </c>
      <c r="C5">
        <v>1618</v>
      </c>
      <c r="D5">
        <v>11834</v>
      </c>
      <c r="E5">
        <v>2345</v>
      </c>
      <c r="F5">
        <v>1424</v>
      </c>
      <c r="G5">
        <v>9336</v>
      </c>
      <c r="H5">
        <v>5099</v>
      </c>
      <c r="I5">
        <v>330</v>
      </c>
      <c r="J5">
        <v>369</v>
      </c>
      <c r="K5">
        <v>1230</v>
      </c>
      <c r="L5">
        <v>3011</v>
      </c>
      <c r="M5">
        <v>3031</v>
      </c>
      <c r="N5">
        <v>2962</v>
      </c>
      <c r="O5">
        <v>67</v>
      </c>
      <c r="P5">
        <v>99473</v>
      </c>
      <c r="Q5">
        <v>808</v>
      </c>
      <c r="R5">
        <v>1906</v>
      </c>
      <c r="S5">
        <v>0</v>
      </c>
      <c r="T5">
        <v>1975</v>
      </c>
      <c r="U5">
        <v>277</v>
      </c>
      <c r="V5">
        <v>5852</v>
      </c>
      <c r="W5">
        <v>1575</v>
      </c>
      <c r="X5">
        <v>86583</v>
      </c>
      <c r="Y5">
        <v>496</v>
      </c>
      <c r="Z5">
        <v>91149</v>
      </c>
      <c r="AA5">
        <v>57133</v>
      </c>
      <c r="AB5">
        <v>7662</v>
      </c>
      <c r="AC5">
        <v>26355</v>
      </c>
      <c r="AD5">
        <v>680</v>
      </c>
      <c r="AE5">
        <v>390</v>
      </c>
      <c r="AF5">
        <v>241</v>
      </c>
      <c r="AG5">
        <v>49</v>
      </c>
      <c r="AH5">
        <v>8643</v>
      </c>
      <c r="AI5">
        <v>199</v>
      </c>
      <c r="AJ5">
        <v>702</v>
      </c>
      <c r="AK5">
        <v>959</v>
      </c>
      <c r="AL5">
        <v>3478</v>
      </c>
      <c r="AM5">
        <v>1180</v>
      </c>
      <c r="AN5">
        <v>265</v>
      </c>
      <c r="AO5">
        <v>339</v>
      </c>
      <c r="AP5">
        <v>443</v>
      </c>
      <c r="AQ5">
        <v>1072</v>
      </c>
      <c r="AR5">
        <v>14749</v>
      </c>
      <c r="AS5">
        <v>166</v>
      </c>
      <c r="AT5">
        <v>294</v>
      </c>
      <c r="AU5">
        <v>115</v>
      </c>
      <c r="AV5">
        <v>1013</v>
      </c>
      <c r="AW5">
        <v>274</v>
      </c>
      <c r="AX5">
        <v>902</v>
      </c>
      <c r="AY5">
        <v>917</v>
      </c>
      <c r="AZ5">
        <v>9957</v>
      </c>
      <c r="BA5">
        <v>1114</v>
      </c>
      <c r="BB5">
        <v>14638</v>
      </c>
      <c r="BC5">
        <v>742</v>
      </c>
      <c r="BD5">
        <v>1886</v>
      </c>
      <c r="BE5">
        <v>188</v>
      </c>
      <c r="BF5">
        <v>2191</v>
      </c>
      <c r="BG5">
        <v>1226</v>
      </c>
      <c r="BH5">
        <v>2012</v>
      </c>
      <c r="BI5">
        <v>1847</v>
      </c>
      <c r="BJ5">
        <v>2264</v>
      </c>
      <c r="BK5">
        <v>2283</v>
      </c>
      <c r="BL5">
        <v>6857</v>
      </c>
      <c r="BM5">
        <v>144</v>
      </c>
      <c r="BN5">
        <v>141</v>
      </c>
      <c r="BO5">
        <v>70</v>
      </c>
      <c r="BP5">
        <v>328</v>
      </c>
      <c r="BQ5">
        <v>115</v>
      </c>
      <c r="BR5">
        <v>2619</v>
      </c>
      <c r="BS5">
        <v>427</v>
      </c>
      <c r="BT5">
        <v>3017</v>
      </c>
      <c r="BU5">
        <v>25523</v>
      </c>
      <c r="BV5">
        <v>1474</v>
      </c>
      <c r="BW5">
        <v>677</v>
      </c>
      <c r="BX5">
        <v>1</v>
      </c>
      <c r="BY5">
        <v>17620</v>
      </c>
      <c r="BZ5">
        <v>5749</v>
      </c>
      <c r="CA5">
        <v>301334</v>
      </c>
    </row>
    <row r="6" spans="1:79" x14ac:dyDescent="0.2">
      <c r="A6" t="s">
        <v>162</v>
      </c>
      <c r="B6">
        <v>35271</v>
      </c>
      <c r="C6">
        <v>1825</v>
      </c>
      <c r="D6">
        <v>13605</v>
      </c>
      <c r="E6">
        <v>2481</v>
      </c>
      <c r="F6">
        <v>1469</v>
      </c>
      <c r="G6">
        <v>7326</v>
      </c>
      <c r="H6">
        <v>3567</v>
      </c>
      <c r="I6">
        <v>300</v>
      </c>
      <c r="J6">
        <v>393</v>
      </c>
      <c r="K6">
        <v>1359</v>
      </c>
      <c r="L6">
        <v>2946</v>
      </c>
      <c r="M6">
        <v>3377</v>
      </c>
      <c r="N6">
        <v>3318</v>
      </c>
      <c r="O6">
        <v>59</v>
      </c>
      <c r="P6">
        <v>106879</v>
      </c>
      <c r="Q6">
        <v>731</v>
      </c>
      <c r="R6">
        <v>1398</v>
      </c>
      <c r="S6">
        <v>15</v>
      </c>
      <c r="T6">
        <v>2218</v>
      </c>
      <c r="U6">
        <v>238</v>
      </c>
      <c r="V6">
        <v>6474</v>
      </c>
      <c r="W6">
        <v>2110</v>
      </c>
      <c r="X6">
        <v>93112</v>
      </c>
      <c r="Y6">
        <v>584</v>
      </c>
      <c r="Z6">
        <v>122269</v>
      </c>
      <c r="AA6">
        <v>66848</v>
      </c>
      <c r="AB6">
        <v>11191</v>
      </c>
      <c r="AC6">
        <v>44229</v>
      </c>
      <c r="AD6">
        <v>663</v>
      </c>
      <c r="AE6">
        <v>368</v>
      </c>
      <c r="AF6">
        <v>240</v>
      </c>
      <c r="AG6">
        <v>55</v>
      </c>
      <c r="AH6">
        <v>10510</v>
      </c>
      <c r="AI6">
        <v>201</v>
      </c>
      <c r="AJ6">
        <v>937</v>
      </c>
      <c r="AK6">
        <v>1029</v>
      </c>
      <c r="AL6">
        <v>4750</v>
      </c>
      <c r="AM6">
        <v>1346</v>
      </c>
      <c r="AN6">
        <v>320</v>
      </c>
      <c r="AO6">
        <v>298</v>
      </c>
      <c r="AP6">
        <v>443</v>
      </c>
      <c r="AQ6">
        <v>1185</v>
      </c>
      <c r="AR6">
        <v>17031</v>
      </c>
      <c r="AS6">
        <v>166</v>
      </c>
      <c r="AT6">
        <v>307</v>
      </c>
      <c r="AU6">
        <v>97</v>
      </c>
      <c r="AV6">
        <v>1145</v>
      </c>
      <c r="AW6">
        <v>273</v>
      </c>
      <c r="AX6">
        <v>927</v>
      </c>
      <c r="AY6">
        <v>1029</v>
      </c>
      <c r="AZ6">
        <v>11823</v>
      </c>
      <c r="BA6">
        <v>1265</v>
      </c>
      <c r="BB6">
        <v>15352</v>
      </c>
      <c r="BC6">
        <v>939</v>
      </c>
      <c r="BD6">
        <v>1833</v>
      </c>
      <c r="BE6">
        <v>275</v>
      </c>
      <c r="BF6">
        <v>2296</v>
      </c>
      <c r="BG6">
        <v>1284</v>
      </c>
      <c r="BH6">
        <v>2008</v>
      </c>
      <c r="BI6">
        <v>2078</v>
      </c>
      <c r="BJ6">
        <v>1693</v>
      </c>
      <c r="BK6">
        <v>2945</v>
      </c>
      <c r="BL6">
        <v>7288</v>
      </c>
      <c r="BM6">
        <v>162</v>
      </c>
      <c r="BN6">
        <v>152</v>
      </c>
      <c r="BO6">
        <v>80</v>
      </c>
      <c r="BP6">
        <v>336</v>
      </c>
      <c r="BQ6">
        <v>124</v>
      </c>
      <c r="BR6">
        <v>2765</v>
      </c>
      <c r="BS6">
        <v>440</v>
      </c>
      <c r="BT6">
        <v>3231</v>
      </c>
      <c r="BU6">
        <v>25975</v>
      </c>
      <c r="BV6">
        <v>1371</v>
      </c>
      <c r="BW6">
        <v>814</v>
      </c>
      <c r="BX6">
        <v>0</v>
      </c>
      <c r="BY6">
        <v>19136</v>
      </c>
      <c r="BZ6">
        <v>4651</v>
      </c>
      <c r="CA6">
        <v>344615</v>
      </c>
    </row>
    <row r="7" spans="1:79" x14ac:dyDescent="0.2">
      <c r="A7" t="s">
        <v>163</v>
      </c>
      <c r="B7">
        <v>37649</v>
      </c>
      <c r="C7">
        <v>2126</v>
      </c>
      <c r="D7">
        <v>16462</v>
      </c>
      <c r="E7">
        <v>2488</v>
      </c>
      <c r="F7">
        <v>1529</v>
      </c>
      <c r="G7">
        <v>5891</v>
      </c>
      <c r="H7">
        <v>4112</v>
      </c>
      <c r="I7">
        <v>268</v>
      </c>
      <c r="J7">
        <v>425</v>
      </c>
      <c r="K7">
        <v>1374</v>
      </c>
      <c r="L7">
        <v>2977</v>
      </c>
      <c r="M7">
        <v>3582</v>
      </c>
      <c r="N7">
        <v>3523</v>
      </c>
      <c r="O7">
        <v>59</v>
      </c>
      <c r="P7">
        <v>136415</v>
      </c>
      <c r="Q7">
        <v>579</v>
      </c>
      <c r="R7">
        <v>1051</v>
      </c>
      <c r="S7">
        <v>20</v>
      </c>
      <c r="T7">
        <v>2225</v>
      </c>
      <c r="U7">
        <v>183</v>
      </c>
      <c r="V7">
        <v>4844</v>
      </c>
      <c r="W7">
        <v>1717</v>
      </c>
      <c r="X7">
        <v>125211</v>
      </c>
      <c r="Y7">
        <v>584</v>
      </c>
      <c r="Z7">
        <v>126288</v>
      </c>
      <c r="AA7">
        <v>63941</v>
      </c>
      <c r="AB7">
        <v>12224</v>
      </c>
      <c r="AC7">
        <v>50124</v>
      </c>
      <c r="AD7">
        <v>647</v>
      </c>
      <c r="AE7">
        <v>359</v>
      </c>
      <c r="AF7">
        <v>243</v>
      </c>
      <c r="AG7">
        <v>47</v>
      </c>
      <c r="AH7">
        <v>11971</v>
      </c>
      <c r="AI7">
        <v>212</v>
      </c>
      <c r="AJ7">
        <v>754</v>
      </c>
      <c r="AK7">
        <v>1008</v>
      </c>
      <c r="AL7">
        <v>6249</v>
      </c>
      <c r="AM7">
        <v>1532</v>
      </c>
      <c r="AN7">
        <v>262</v>
      </c>
      <c r="AO7">
        <v>328</v>
      </c>
      <c r="AP7">
        <v>397</v>
      </c>
      <c r="AQ7">
        <v>1225</v>
      </c>
      <c r="AR7">
        <v>17567</v>
      </c>
      <c r="AS7">
        <v>141</v>
      </c>
      <c r="AT7">
        <v>325</v>
      </c>
      <c r="AU7">
        <v>108</v>
      </c>
      <c r="AV7">
        <v>1094</v>
      </c>
      <c r="AW7">
        <v>305</v>
      </c>
      <c r="AX7">
        <v>1005</v>
      </c>
      <c r="AY7">
        <v>1217</v>
      </c>
      <c r="AZ7">
        <v>11999</v>
      </c>
      <c r="BA7">
        <v>1372</v>
      </c>
      <c r="BB7">
        <v>16992</v>
      </c>
      <c r="BC7">
        <v>1064</v>
      </c>
      <c r="BD7">
        <v>1961</v>
      </c>
      <c r="BE7">
        <v>192</v>
      </c>
      <c r="BF7">
        <v>2456</v>
      </c>
      <c r="BG7">
        <v>1410</v>
      </c>
      <c r="BH7">
        <v>2657</v>
      </c>
      <c r="BI7">
        <v>2131</v>
      </c>
      <c r="BJ7">
        <v>1919</v>
      </c>
      <c r="BK7">
        <v>3208</v>
      </c>
      <c r="BL7">
        <v>8208</v>
      </c>
      <c r="BM7">
        <v>157</v>
      </c>
      <c r="BN7">
        <v>182</v>
      </c>
      <c r="BO7">
        <v>94</v>
      </c>
      <c r="BP7">
        <v>377</v>
      </c>
      <c r="BQ7">
        <v>122</v>
      </c>
      <c r="BR7">
        <v>3906</v>
      </c>
      <c r="BS7">
        <v>466</v>
      </c>
      <c r="BT7">
        <v>2901</v>
      </c>
      <c r="BU7">
        <v>30661</v>
      </c>
      <c r="BV7">
        <v>1239</v>
      </c>
      <c r="BW7">
        <v>861</v>
      </c>
      <c r="BX7">
        <v>0</v>
      </c>
      <c r="BY7">
        <v>23372</v>
      </c>
      <c r="BZ7">
        <v>5188</v>
      </c>
      <c r="CA7">
        <v>389981</v>
      </c>
    </row>
    <row r="8" spans="1:79" x14ac:dyDescent="0.2">
      <c r="A8" t="s">
        <v>164</v>
      </c>
      <c r="B8">
        <v>35628</v>
      </c>
      <c r="C8">
        <v>1949</v>
      </c>
      <c r="D8">
        <v>14705</v>
      </c>
      <c r="E8">
        <v>2544</v>
      </c>
      <c r="F8">
        <v>1229</v>
      </c>
      <c r="G8">
        <v>6440</v>
      </c>
      <c r="H8">
        <v>4127</v>
      </c>
      <c r="I8">
        <v>283</v>
      </c>
      <c r="J8">
        <v>447</v>
      </c>
      <c r="K8">
        <v>1310</v>
      </c>
      <c r="L8">
        <v>2591</v>
      </c>
      <c r="M8">
        <v>3283</v>
      </c>
      <c r="N8">
        <v>3246</v>
      </c>
      <c r="O8">
        <v>37</v>
      </c>
      <c r="P8">
        <v>151968</v>
      </c>
      <c r="Q8">
        <v>414</v>
      </c>
      <c r="R8">
        <v>1183</v>
      </c>
      <c r="S8">
        <v>10</v>
      </c>
      <c r="T8">
        <v>1669</v>
      </c>
      <c r="U8">
        <v>172</v>
      </c>
      <c r="V8">
        <v>2739</v>
      </c>
      <c r="W8">
        <v>1163</v>
      </c>
      <c r="X8">
        <v>144068</v>
      </c>
      <c r="Y8">
        <v>551</v>
      </c>
      <c r="Z8">
        <v>88821</v>
      </c>
      <c r="AA8">
        <v>43367</v>
      </c>
      <c r="AB8">
        <v>7755</v>
      </c>
      <c r="AC8">
        <v>37699</v>
      </c>
      <c r="AD8">
        <v>761</v>
      </c>
      <c r="AE8">
        <v>444</v>
      </c>
      <c r="AF8">
        <v>282</v>
      </c>
      <c r="AG8">
        <v>33</v>
      </c>
      <c r="AH8">
        <v>11092</v>
      </c>
      <c r="AI8">
        <v>227</v>
      </c>
      <c r="AJ8">
        <v>641</v>
      </c>
      <c r="AK8">
        <v>894</v>
      </c>
      <c r="AL8">
        <v>5547</v>
      </c>
      <c r="AM8">
        <v>1590</v>
      </c>
      <c r="AN8">
        <v>330</v>
      </c>
      <c r="AO8">
        <v>232</v>
      </c>
      <c r="AP8">
        <v>311</v>
      </c>
      <c r="AQ8">
        <v>1325</v>
      </c>
      <c r="AR8">
        <v>14708</v>
      </c>
      <c r="AS8">
        <v>112</v>
      </c>
      <c r="AT8">
        <v>260</v>
      </c>
      <c r="AU8">
        <v>103</v>
      </c>
      <c r="AV8">
        <v>934</v>
      </c>
      <c r="AW8">
        <v>276</v>
      </c>
      <c r="AX8">
        <v>736</v>
      </c>
      <c r="AY8">
        <v>920</v>
      </c>
      <c r="AZ8">
        <v>10215</v>
      </c>
      <c r="BA8">
        <v>1154</v>
      </c>
      <c r="BB8">
        <v>14678</v>
      </c>
      <c r="BC8">
        <v>1068</v>
      </c>
      <c r="BD8">
        <v>1769</v>
      </c>
      <c r="BE8">
        <v>138</v>
      </c>
      <c r="BF8">
        <v>2164</v>
      </c>
      <c r="BG8">
        <v>1300</v>
      </c>
      <c r="BH8">
        <v>2251</v>
      </c>
      <c r="BI8">
        <v>2006</v>
      </c>
      <c r="BJ8">
        <v>1598</v>
      </c>
      <c r="BK8">
        <v>2387</v>
      </c>
      <c r="BL8">
        <v>7376</v>
      </c>
      <c r="BM8">
        <v>161</v>
      </c>
      <c r="BN8">
        <v>136</v>
      </c>
      <c r="BO8">
        <v>112</v>
      </c>
      <c r="BP8">
        <v>387</v>
      </c>
      <c r="BQ8">
        <v>129</v>
      </c>
      <c r="BR8">
        <v>3526</v>
      </c>
      <c r="BS8">
        <v>432</v>
      </c>
      <c r="BT8">
        <v>2494</v>
      </c>
      <c r="BU8">
        <v>34408</v>
      </c>
      <c r="BV8">
        <v>1063</v>
      </c>
      <c r="BW8">
        <v>1303</v>
      </c>
      <c r="BX8">
        <v>2</v>
      </c>
      <c r="BY8">
        <v>25492</v>
      </c>
      <c r="BZ8">
        <v>6551</v>
      </c>
      <c r="CA8">
        <v>362728</v>
      </c>
    </row>
    <row r="9" spans="1:79" x14ac:dyDescent="0.2">
      <c r="A9" t="s">
        <v>165</v>
      </c>
      <c r="B9">
        <v>43540</v>
      </c>
      <c r="C9">
        <v>1646</v>
      </c>
      <c r="D9">
        <v>14801</v>
      </c>
      <c r="E9">
        <v>2947</v>
      </c>
      <c r="F9">
        <v>1207</v>
      </c>
      <c r="G9">
        <v>14105</v>
      </c>
      <c r="H9">
        <v>4512</v>
      </c>
      <c r="I9">
        <v>318</v>
      </c>
      <c r="J9">
        <v>476</v>
      </c>
      <c r="K9">
        <v>1424</v>
      </c>
      <c r="L9">
        <v>2105</v>
      </c>
      <c r="M9">
        <v>2523</v>
      </c>
      <c r="N9">
        <v>2503</v>
      </c>
      <c r="O9">
        <v>21</v>
      </c>
      <c r="P9">
        <v>198179</v>
      </c>
      <c r="Q9">
        <v>504</v>
      </c>
      <c r="R9">
        <v>3166</v>
      </c>
      <c r="S9">
        <v>11</v>
      </c>
      <c r="T9">
        <v>1338</v>
      </c>
      <c r="U9">
        <v>266</v>
      </c>
      <c r="V9">
        <v>5081</v>
      </c>
      <c r="W9">
        <v>1948</v>
      </c>
      <c r="X9">
        <v>185259</v>
      </c>
      <c r="Y9">
        <v>613</v>
      </c>
      <c r="Z9">
        <v>126395</v>
      </c>
      <c r="AA9">
        <v>63504</v>
      </c>
      <c r="AB9">
        <v>11715</v>
      </c>
      <c r="AC9">
        <v>51179</v>
      </c>
      <c r="AD9">
        <v>1085</v>
      </c>
      <c r="AE9">
        <v>669</v>
      </c>
      <c r="AF9">
        <v>360</v>
      </c>
      <c r="AG9">
        <v>54</v>
      </c>
      <c r="AH9">
        <v>10052</v>
      </c>
      <c r="AI9">
        <v>239</v>
      </c>
      <c r="AJ9">
        <v>808</v>
      </c>
      <c r="AK9">
        <v>1036</v>
      </c>
      <c r="AL9">
        <v>3630</v>
      </c>
      <c r="AM9">
        <v>1663</v>
      </c>
      <c r="AN9">
        <v>490</v>
      </c>
      <c r="AO9">
        <v>368</v>
      </c>
      <c r="AP9">
        <v>345</v>
      </c>
      <c r="AQ9">
        <v>1474</v>
      </c>
      <c r="AR9">
        <v>16703</v>
      </c>
      <c r="AS9">
        <v>160</v>
      </c>
      <c r="AT9">
        <v>257</v>
      </c>
      <c r="AU9">
        <v>96</v>
      </c>
      <c r="AV9">
        <v>948</v>
      </c>
      <c r="AW9">
        <v>333</v>
      </c>
      <c r="AX9">
        <v>570</v>
      </c>
      <c r="AY9">
        <v>793</v>
      </c>
      <c r="AZ9">
        <v>12328</v>
      </c>
      <c r="BA9">
        <v>1220</v>
      </c>
      <c r="BB9">
        <v>14728</v>
      </c>
      <c r="BC9">
        <v>872</v>
      </c>
      <c r="BD9">
        <v>1678</v>
      </c>
      <c r="BE9">
        <v>175</v>
      </c>
      <c r="BF9">
        <v>2230</v>
      </c>
      <c r="BG9">
        <v>1376</v>
      </c>
      <c r="BH9">
        <v>2331</v>
      </c>
      <c r="BI9">
        <v>2227</v>
      </c>
      <c r="BJ9">
        <v>1853</v>
      </c>
      <c r="BK9">
        <v>1988</v>
      </c>
      <c r="BL9">
        <v>8036</v>
      </c>
      <c r="BM9">
        <v>203</v>
      </c>
      <c r="BN9">
        <v>145</v>
      </c>
      <c r="BO9">
        <v>116</v>
      </c>
      <c r="BP9">
        <v>480</v>
      </c>
      <c r="BQ9">
        <v>119</v>
      </c>
      <c r="BR9">
        <v>3875</v>
      </c>
      <c r="BS9">
        <v>453</v>
      </c>
      <c r="BT9">
        <v>2646</v>
      </c>
      <c r="BU9">
        <v>36933</v>
      </c>
      <c r="BV9">
        <v>1789</v>
      </c>
      <c r="BW9">
        <v>2576</v>
      </c>
      <c r="BX9">
        <v>2</v>
      </c>
      <c r="BY9">
        <v>23281</v>
      </c>
      <c r="BZ9">
        <v>9283</v>
      </c>
      <c r="CA9">
        <v>458168</v>
      </c>
    </row>
    <row r="10" spans="1:79" x14ac:dyDescent="0.2">
      <c r="A10" t="s">
        <v>166</v>
      </c>
      <c r="B10">
        <v>53122</v>
      </c>
      <c r="C10">
        <v>1518</v>
      </c>
      <c r="D10">
        <v>16600</v>
      </c>
      <c r="E10">
        <v>3385</v>
      </c>
      <c r="F10">
        <v>1205</v>
      </c>
      <c r="G10">
        <v>20672</v>
      </c>
      <c r="H10">
        <v>5027</v>
      </c>
      <c r="I10">
        <v>321</v>
      </c>
      <c r="J10">
        <v>517</v>
      </c>
      <c r="K10">
        <v>1719</v>
      </c>
      <c r="L10">
        <v>2160</v>
      </c>
      <c r="M10">
        <v>2572</v>
      </c>
      <c r="N10">
        <v>2553</v>
      </c>
      <c r="O10">
        <v>19</v>
      </c>
      <c r="P10">
        <v>188296</v>
      </c>
      <c r="Q10">
        <v>454</v>
      </c>
      <c r="R10">
        <v>7762</v>
      </c>
      <c r="S10">
        <v>9</v>
      </c>
      <c r="T10">
        <v>1523</v>
      </c>
      <c r="U10">
        <v>307</v>
      </c>
      <c r="V10">
        <v>7710</v>
      </c>
      <c r="W10">
        <v>12384</v>
      </c>
      <c r="X10">
        <v>157451</v>
      </c>
      <c r="Y10">
        <v>692</v>
      </c>
      <c r="Z10">
        <v>251334</v>
      </c>
      <c r="AA10">
        <v>142345</v>
      </c>
      <c r="AB10">
        <v>17341</v>
      </c>
      <c r="AC10">
        <v>91648</v>
      </c>
      <c r="AD10">
        <v>1682</v>
      </c>
      <c r="AE10">
        <v>1080</v>
      </c>
      <c r="AF10">
        <v>538</v>
      </c>
      <c r="AG10">
        <v>64</v>
      </c>
      <c r="AH10">
        <v>12575</v>
      </c>
      <c r="AI10">
        <v>245</v>
      </c>
      <c r="AJ10">
        <v>1675</v>
      </c>
      <c r="AK10">
        <v>1068</v>
      </c>
      <c r="AL10">
        <v>4328</v>
      </c>
      <c r="AM10">
        <v>1768</v>
      </c>
      <c r="AN10">
        <v>731</v>
      </c>
      <c r="AO10">
        <v>303</v>
      </c>
      <c r="AP10">
        <v>451</v>
      </c>
      <c r="AQ10">
        <v>2007</v>
      </c>
      <c r="AR10">
        <v>19431</v>
      </c>
      <c r="AS10">
        <v>148</v>
      </c>
      <c r="AT10">
        <v>363</v>
      </c>
      <c r="AU10">
        <v>96</v>
      </c>
      <c r="AV10">
        <v>1014</v>
      </c>
      <c r="AW10">
        <v>356</v>
      </c>
      <c r="AX10">
        <v>604</v>
      </c>
      <c r="AY10">
        <v>1340</v>
      </c>
      <c r="AZ10">
        <v>14078</v>
      </c>
      <c r="BA10">
        <v>1430</v>
      </c>
      <c r="BB10">
        <v>16516</v>
      </c>
      <c r="BC10">
        <v>1027</v>
      </c>
      <c r="BD10">
        <v>1911</v>
      </c>
      <c r="BE10">
        <v>260</v>
      </c>
      <c r="BF10">
        <v>2489</v>
      </c>
      <c r="BG10">
        <v>1545</v>
      </c>
      <c r="BH10">
        <v>2337</v>
      </c>
      <c r="BI10">
        <v>2692</v>
      </c>
      <c r="BJ10">
        <v>2013</v>
      </c>
      <c r="BK10">
        <v>2245</v>
      </c>
      <c r="BL10">
        <v>9077</v>
      </c>
      <c r="BM10">
        <v>175</v>
      </c>
      <c r="BN10">
        <v>166</v>
      </c>
      <c r="BO10">
        <v>201</v>
      </c>
      <c r="BP10">
        <v>649</v>
      </c>
      <c r="BQ10">
        <v>141</v>
      </c>
      <c r="BR10">
        <v>4409</v>
      </c>
      <c r="BS10">
        <v>506</v>
      </c>
      <c r="BT10">
        <v>2834</v>
      </c>
      <c r="BU10">
        <v>39255</v>
      </c>
      <c r="BV10">
        <v>764</v>
      </c>
      <c r="BW10">
        <v>3046</v>
      </c>
      <c r="BX10">
        <v>9</v>
      </c>
      <c r="BY10">
        <v>23514</v>
      </c>
      <c r="BZ10">
        <v>11921</v>
      </c>
      <c r="CA10">
        <v>593865</v>
      </c>
    </row>
    <row r="11" spans="1:79" x14ac:dyDescent="0.2">
      <c r="A11" t="s">
        <v>167</v>
      </c>
      <c r="B11">
        <v>54749</v>
      </c>
      <c r="C11">
        <v>1236</v>
      </c>
      <c r="D11">
        <v>17798</v>
      </c>
      <c r="E11">
        <v>3000</v>
      </c>
      <c r="F11">
        <v>1346</v>
      </c>
      <c r="G11">
        <v>20628</v>
      </c>
      <c r="H11">
        <v>5891</v>
      </c>
      <c r="I11">
        <v>297</v>
      </c>
      <c r="J11">
        <v>509</v>
      </c>
      <c r="K11">
        <v>1737</v>
      </c>
      <c r="L11">
        <v>2314</v>
      </c>
      <c r="M11">
        <v>2548</v>
      </c>
      <c r="N11">
        <v>2524</v>
      </c>
      <c r="O11">
        <v>24</v>
      </c>
      <c r="P11">
        <v>202961</v>
      </c>
      <c r="Q11">
        <v>451</v>
      </c>
      <c r="R11">
        <v>5508</v>
      </c>
      <c r="S11">
        <v>14</v>
      </c>
      <c r="T11">
        <v>1435</v>
      </c>
      <c r="U11">
        <v>203</v>
      </c>
      <c r="V11">
        <v>7407</v>
      </c>
      <c r="W11">
        <v>19055</v>
      </c>
      <c r="X11">
        <v>168243</v>
      </c>
      <c r="Y11">
        <v>650</v>
      </c>
      <c r="Z11">
        <v>195549</v>
      </c>
      <c r="AA11">
        <v>103331</v>
      </c>
      <c r="AB11">
        <v>15760</v>
      </c>
      <c r="AC11">
        <v>76456</v>
      </c>
      <c r="AD11">
        <v>1609</v>
      </c>
      <c r="AE11">
        <v>1053</v>
      </c>
      <c r="AF11">
        <v>420</v>
      </c>
      <c r="AG11">
        <v>136</v>
      </c>
      <c r="AH11">
        <v>11484</v>
      </c>
      <c r="AI11">
        <v>221</v>
      </c>
      <c r="AJ11">
        <v>1264</v>
      </c>
      <c r="AK11">
        <v>920</v>
      </c>
      <c r="AL11">
        <v>4754</v>
      </c>
      <c r="AM11">
        <v>1686</v>
      </c>
      <c r="AN11">
        <v>338</v>
      </c>
      <c r="AO11">
        <v>277</v>
      </c>
      <c r="AP11">
        <v>385</v>
      </c>
      <c r="AQ11">
        <v>1643</v>
      </c>
      <c r="AR11">
        <v>19357</v>
      </c>
      <c r="AS11">
        <v>109</v>
      </c>
      <c r="AT11">
        <v>397</v>
      </c>
      <c r="AU11">
        <v>98</v>
      </c>
      <c r="AV11">
        <v>888</v>
      </c>
      <c r="AW11">
        <v>364</v>
      </c>
      <c r="AX11">
        <v>854</v>
      </c>
      <c r="AY11">
        <v>1256</v>
      </c>
      <c r="AZ11">
        <v>13950</v>
      </c>
      <c r="BA11">
        <v>1442</v>
      </c>
      <c r="BB11">
        <v>18604</v>
      </c>
      <c r="BC11">
        <v>1303</v>
      </c>
      <c r="BD11">
        <v>2113</v>
      </c>
      <c r="BE11">
        <v>272</v>
      </c>
      <c r="BF11">
        <v>3044</v>
      </c>
      <c r="BG11">
        <v>1489</v>
      </c>
      <c r="BH11">
        <v>2677</v>
      </c>
      <c r="BI11">
        <v>2954</v>
      </c>
      <c r="BJ11">
        <v>2180</v>
      </c>
      <c r="BK11">
        <v>2574</v>
      </c>
      <c r="BL11">
        <v>10517</v>
      </c>
      <c r="BM11">
        <v>170</v>
      </c>
      <c r="BN11">
        <v>188</v>
      </c>
      <c r="BO11">
        <v>188</v>
      </c>
      <c r="BP11">
        <v>706</v>
      </c>
      <c r="BQ11">
        <v>181</v>
      </c>
      <c r="BR11">
        <v>4871</v>
      </c>
      <c r="BS11">
        <v>576</v>
      </c>
      <c r="BT11">
        <v>3636</v>
      </c>
      <c r="BU11">
        <v>41247</v>
      </c>
      <c r="BV11">
        <v>612</v>
      </c>
      <c r="BW11">
        <v>2011</v>
      </c>
      <c r="BX11">
        <v>11</v>
      </c>
      <c r="BY11">
        <v>28352</v>
      </c>
      <c r="BZ11">
        <v>10257</v>
      </c>
      <c r="CA11">
        <v>558623</v>
      </c>
    </row>
    <row r="12" spans="1:79" x14ac:dyDescent="0.2">
      <c r="A12" t="s">
        <v>247</v>
      </c>
      <c r="B12">
        <v>52562</v>
      </c>
      <c r="C12">
        <v>1117</v>
      </c>
      <c r="D12">
        <v>21317</v>
      </c>
      <c r="E12">
        <v>3425</v>
      </c>
      <c r="F12">
        <v>1219</v>
      </c>
      <c r="G12">
        <v>13747</v>
      </c>
      <c r="H12">
        <v>7067</v>
      </c>
      <c r="I12">
        <v>298</v>
      </c>
      <c r="J12">
        <v>549</v>
      </c>
      <c r="K12">
        <v>1573</v>
      </c>
      <c r="L12">
        <v>2253</v>
      </c>
      <c r="M12">
        <v>3179</v>
      </c>
      <c r="N12">
        <v>3159</v>
      </c>
      <c r="O12">
        <v>20</v>
      </c>
      <c r="P12">
        <v>179588</v>
      </c>
      <c r="Q12">
        <v>532</v>
      </c>
      <c r="R12">
        <v>5005</v>
      </c>
      <c r="S12">
        <v>20</v>
      </c>
      <c r="T12">
        <v>1424</v>
      </c>
      <c r="U12">
        <v>242</v>
      </c>
      <c r="V12">
        <v>6498</v>
      </c>
      <c r="W12">
        <v>5137</v>
      </c>
      <c r="X12">
        <v>160100</v>
      </c>
      <c r="Y12">
        <v>635</v>
      </c>
      <c r="Z12">
        <v>170842</v>
      </c>
      <c r="AA12">
        <v>85445</v>
      </c>
      <c r="AB12">
        <v>15713</v>
      </c>
      <c r="AC12">
        <v>69682</v>
      </c>
      <c r="AD12">
        <v>1397</v>
      </c>
      <c r="AE12">
        <v>865</v>
      </c>
      <c r="AF12">
        <v>416</v>
      </c>
      <c r="AG12">
        <v>118</v>
      </c>
      <c r="AH12">
        <v>12272</v>
      </c>
      <c r="AI12">
        <v>215</v>
      </c>
      <c r="AJ12">
        <v>946</v>
      </c>
      <c r="AK12">
        <v>1162</v>
      </c>
      <c r="AL12">
        <v>5387</v>
      </c>
      <c r="AM12">
        <v>1705</v>
      </c>
      <c r="AN12">
        <v>437</v>
      </c>
      <c r="AO12">
        <v>294</v>
      </c>
      <c r="AP12">
        <v>412</v>
      </c>
      <c r="AQ12">
        <v>1718</v>
      </c>
      <c r="AR12">
        <v>20515</v>
      </c>
      <c r="AS12">
        <v>112</v>
      </c>
      <c r="AT12">
        <v>331</v>
      </c>
      <c r="AU12">
        <v>97</v>
      </c>
      <c r="AV12">
        <v>891</v>
      </c>
      <c r="AW12">
        <v>392</v>
      </c>
      <c r="AX12">
        <v>590</v>
      </c>
      <c r="AY12">
        <v>1332</v>
      </c>
      <c r="AZ12">
        <v>15294</v>
      </c>
      <c r="BA12">
        <v>1476</v>
      </c>
      <c r="BB12">
        <v>20484</v>
      </c>
      <c r="BC12">
        <v>1377</v>
      </c>
      <c r="BD12">
        <v>2346</v>
      </c>
      <c r="BE12">
        <v>286</v>
      </c>
      <c r="BF12">
        <v>3125</v>
      </c>
      <c r="BG12">
        <v>1580</v>
      </c>
      <c r="BH12">
        <v>2923</v>
      </c>
      <c r="BI12">
        <v>3219</v>
      </c>
      <c r="BJ12">
        <v>2259</v>
      </c>
      <c r="BK12">
        <v>3377</v>
      </c>
      <c r="BL12">
        <v>10974</v>
      </c>
      <c r="BM12">
        <v>191</v>
      </c>
      <c r="BN12">
        <v>169</v>
      </c>
      <c r="BO12">
        <v>178</v>
      </c>
      <c r="BP12">
        <v>773</v>
      </c>
      <c r="BQ12">
        <v>191</v>
      </c>
      <c r="BR12">
        <v>4081</v>
      </c>
      <c r="BS12">
        <v>611</v>
      </c>
      <c r="BT12">
        <v>4777</v>
      </c>
      <c r="BU12">
        <v>45169</v>
      </c>
      <c r="BV12">
        <v>565</v>
      </c>
      <c r="BW12">
        <v>1340</v>
      </c>
      <c r="BX12">
        <v>23</v>
      </c>
      <c r="BY12">
        <v>35703</v>
      </c>
      <c r="BZ12">
        <v>7536</v>
      </c>
      <c r="CA12">
        <v>516983</v>
      </c>
    </row>
    <row r="13" spans="1:79" x14ac:dyDescent="0.2">
      <c r="A13" t="s">
        <v>248</v>
      </c>
      <c r="B13">
        <v>62043</v>
      </c>
      <c r="C13">
        <v>1299</v>
      </c>
      <c r="D13">
        <v>27217</v>
      </c>
      <c r="E13">
        <v>3562</v>
      </c>
      <c r="F13">
        <v>1588</v>
      </c>
      <c r="G13">
        <v>16169</v>
      </c>
      <c r="H13">
        <v>7282</v>
      </c>
      <c r="I13">
        <v>263</v>
      </c>
      <c r="J13">
        <v>632</v>
      </c>
      <c r="K13">
        <v>1582</v>
      </c>
      <c r="L13">
        <v>2448</v>
      </c>
      <c r="M13">
        <v>3066</v>
      </c>
      <c r="N13">
        <v>3009</v>
      </c>
      <c r="O13">
        <v>58</v>
      </c>
      <c r="P13">
        <v>180651</v>
      </c>
      <c r="Q13">
        <v>546</v>
      </c>
      <c r="R13">
        <v>4616</v>
      </c>
      <c r="S13">
        <v>30</v>
      </c>
      <c r="T13">
        <v>1521</v>
      </c>
      <c r="U13">
        <v>274</v>
      </c>
      <c r="V13">
        <v>6053</v>
      </c>
      <c r="W13">
        <v>4863</v>
      </c>
      <c r="X13">
        <v>162034</v>
      </c>
      <c r="Y13">
        <v>711</v>
      </c>
      <c r="Z13">
        <v>140181</v>
      </c>
      <c r="AA13">
        <v>64478</v>
      </c>
      <c r="AB13">
        <v>14187</v>
      </c>
      <c r="AC13">
        <v>61513</v>
      </c>
      <c r="AD13">
        <v>1806</v>
      </c>
      <c r="AE13">
        <v>823</v>
      </c>
      <c r="AF13">
        <v>529</v>
      </c>
      <c r="AG13">
        <v>455</v>
      </c>
      <c r="AH13">
        <v>12141</v>
      </c>
      <c r="AI13">
        <v>251</v>
      </c>
      <c r="AJ13">
        <v>1050</v>
      </c>
      <c r="AK13">
        <v>1053</v>
      </c>
      <c r="AL13">
        <v>5138</v>
      </c>
      <c r="AM13">
        <v>1615</v>
      </c>
      <c r="AN13">
        <v>666</v>
      </c>
      <c r="AO13">
        <v>281</v>
      </c>
      <c r="AP13">
        <v>423</v>
      </c>
      <c r="AQ13">
        <v>1661</v>
      </c>
      <c r="AR13">
        <v>22719</v>
      </c>
      <c r="AS13">
        <v>108</v>
      </c>
      <c r="AT13">
        <v>345</v>
      </c>
      <c r="AU13">
        <v>77</v>
      </c>
      <c r="AV13">
        <v>871</v>
      </c>
      <c r="AW13">
        <v>375</v>
      </c>
      <c r="AX13">
        <v>480</v>
      </c>
      <c r="AY13">
        <v>1054</v>
      </c>
      <c r="AZ13">
        <v>17943</v>
      </c>
      <c r="BA13">
        <v>1465</v>
      </c>
      <c r="BB13">
        <v>22210</v>
      </c>
      <c r="BC13">
        <v>1598</v>
      </c>
      <c r="BD13">
        <v>2416</v>
      </c>
      <c r="BE13">
        <v>248</v>
      </c>
      <c r="BF13">
        <v>3253</v>
      </c>
      <c r="BG13">
        <v>1888</v>
      </c>
      <c r="BH13">
        <v>3236</v>
      </c>
      <c r="BI13">
        <v>3266</v>
      </c>
      <c r="BJ13">
        <v>2624</v>
      </c>
      <c r="BK13">
        <v>3685</v>
      </c>
      <c r="BL13">
        <v>11863</v>
      </c>
      <c r="BM13">
        <v>190</v>
      </c>
      <c r="BN13">
        <v>173</v>
      </c>
      <c r="BO13">
        <v>183</v>
      </c>
      <c r="BP13">
        <v>774</v>
      </c>
      <c r="BQ13">
        <v>187</v>
      </c>
      <c r="BR13">
        <v>4293</v>
      </c>
      <c r="BS13">
        <v>659</v>
      </c>
      <c r="BT13">
        <v>5399</v>
      </c>
      <c r="BU13">
        <v>66414</v>
      </c>
      <c r="BV13">
        <v>439</v>
      </c>
      <c r="BW13">
        <v>1873</v>
      </c>
      <c r="BX13">
        <v>17</v>
      </c>
      <c r="BY13">
        <v>59557</v>
      </c>
      <c r="BZ13">
        <v>4530</v>
      </c>
      <c r="CA13">
        <v>523098</v>
      </c>
    </row>
    <row r="37" spans="65:65" x14ac:dyDescent="0.2">
      <c r="BM37" t="s">
        <v>249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931F-CE24-4041-B7E8-78F8ABC8D2B6}">
  <sheetPr>
    <tabColor rgb="FFFF0000"/>
  </sheetPr>
  <dimension ref="A1:CA13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20" sqref="D20"/>
    </sheetView>
  </sheetViews>
  <sheetFormatPr baseColWidth="10" defaultColWidth="8.83203125" defaultRowHeight="15" x14ac:dyDescent="0.2"/>
  <sheetData>
    <row r="1" spans="1:79" x14ac:dyDescent="0.2">
      <c r="A1" s="3" t="s">
        <v>168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169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179</v>
      </c>
      <c r="M3" t="s">
        <v>180</v>
      </c>
      <c r="N3" t="s">
        <v>181</v>
      </c>
      <c r="O3" t="s">
        <v>182</v>
      </c>
      <c r="P3" t="s">
        <v>183</v>
      </c>
      <c r="Q3" t="s">
        <v>184</v>
      </c>
      <c r="R3" t="s">
        <v>185</v>
      </c>
      <c r="S3" t="s">
        <v>186</v>
      </c>
      <c r="T3" t="s">
        <v>187</v>
      </c>
      <c r="U3" t="s">
        <v>188</v>
      </c>
      <c r="V3" t="s">
        <v>189</v>
      </c>
      <c r="W3" t="s">
        <v>190</v>
      </c>
      <c r="X3" t="s">
        <v>191</v>
      </c>
      <c r="Y3" t="s">
        <v>192</v>
      </c>
      <c r="Z3" t="s">
        <v>193</v>
      </c>
      <c r="AA3" t="s">
        <v>194</v>
      </c>
      <c r="AB3" t="s">
        <v>195</v>
      </c>
      <c r="AC3" t="s">
        <v>196</v>
      </c>
      <c r="AD3" t="s">
        <v>197</v>
      </c>
      <c r="AE3" t="s">
        <v>198</v>
      </c>
      <c r="AF3" t="s">
        <v>199</v>
      </c>
      <c r="AG3" t="s">
        <v>200</v>
      </c>
      <c r="AH3" t="s">
        <v>201</v>
      </c>
      <c r="AI3" t="s">
        <v>202</v>
      </c>
      <c r="AJ3" t="s">
        <v>203</v>
      </c>
      <c r="AK3" t="s">
        <v>204</v>
      </c>
      <c r="AL3" t="s">
        <v>205</v>
      </c>
      <c r="AM3" t="s">
        <v>206</v>
      </c>
      <c r="AN3" t="s">
        <v>207</v>
      </c>
      <c r="AO3" t="s">
        <v>208</v>
      </c>
      <c r="AP3" t="s">
        <v>209</v>
      </c>
      <c r="AQ3" t="s">
        <v>210</v>
      </c>
      <c r="AR3" t="s">
        <v>211</v>
      </c>
      <c r="AS3" t="s">
        <v>212</v>
      </c>
      <c r="AT3" t="s">
        <v>213</v>
      </c>
      <c r="AU3" t="s">
        <v>214</v>
      </c>
      <c r="AV3" t="s">
        <v>215</v>
      </c>
      <c r="AW3" t="s">
        <v>216</v>
      </c>
      <c r="AX3" t="s">
        <v>217</v>
      </c>
      <c r="AY3" t="s">
        <v>218</v>
      </c>
      <c r="AZ3" t="s">
        <v>219</v>
      </c>
      <c r="BA3" t="s">
        <v>220</v>
      </c>
      <c r="BB3" t="s">
        <v>221</v>
      </c>
      <c r="BC3" t="s">
        <v>222</v>
      </c>
      <c r="BD3" t="s">
        <v>223</v>
      </c>
      <c r="BE3" t="s">
        <v>224</v>
      </c>
      <c r="BF3" t="s">
        <v>225</v>
      </c>
      <c r="BG3" t="s">
        <v>226</v>
      </c>
      <c r="BH3" t="s">
        <v>227</v>
      </c>
      <c r="BI3" t="s">
        <v>228</v>
      </c>
      <c r="BJ3" t="s">
        <v>229</v>
      </c>
      <c r="BK3" t="s">
        <v>230</v>
      </c>
      <c r="BL3" t="s">
        <v>231</v>
      </c>
      <c r="BM3" t="s">
        <v>232</v>
      </c>
      <c r="BN3" t="s">
        <v>233</v>
      </c>
      <c r="BO3" t="s">
        <v>234</v>
      </c>
      <c r="BP3" t="s">
        <v>235</v>
      </c>
      <c r="BQ3" t="s">
        <v>236</v>
      </c>
      <c r="BR3" t="s">
        <v>237</v>
      </c>
      <c r="BS3" t="s">
        <v>238</v>
      </c>
      <c r="BT3" t="s">
        <v>239</v>
      </c>
      <c r="BU3" t="s">
        <v>240</v>
      </c>
      <c r="BV3" t="s">
        <v>241</v>
      </c>
      <c r="BW3" t="s">
        <v>242</v>
      </c>
      <c r="BX3" t="s">
        <v>243</v>
      </c>
      <c r="BY3" t="s">
        <v>244</v>
      </c>
      <c r="BZ3" t="s">
        <v>245</v>
      </c>
      <c r="CA3" t="s">
        <v>246</v>
      </c>
    </row>
    <row r="4" spans="1:79" x14ac:dyDescent="0.2">
      <c r="A4" t="s">
        <v>160</v>
      </c>
      <c r="B4">
        <v>13977</v>
      </c>
      <c r="C4">
        <v>121</v>
      </c>
      <c r="D4">
        <v>780</v>
      </c>
      <c r="E4">
        <v>1075</v>
      </c>
      <c r="F4">
        <v>1852</v>
      </c>
      <c r="G4">
        <v>1265</v>
      </c>
      <c r="H4">
        <v>2601</v>
      </c>
      <c r="I4">
        <v>483</v>
      </c>
      <c r="J4">
        <v>1975</v>
      </c>
      <c r="K4">
        <v>919</v>
      </c>
      <c r="L4">
        <v>2908</v>
      </c>
      <c r="M4">
        <v>3271</v>
      </c>
      <c r="N4">
        <v>2241</v>
      </c>
      <c r="O4">
        <v>1027</v>
      </c>
      <c r="P4">
        <v>3206</v>
      </c>
      <c r="Q4">
        <v>5</v>
      </c>
      <c r="R4">
        <v>88</v>
      </c>
      <c r="S4">
        <v>102</v>
      </c>
      <c r="T4">
        <v>816</v>
      </c>
      <c r="U4">
        <v>212</v>
      </c>
      <c r="V4">
        <v>99</v>
      </c>
      <c r="W4">
        <v>311</v>
      </c>
      <c r="X4">
        <v>1017</v>
      </c>
      <c r="Y4">
        <v>551</v>
      </c>
      <c r="Z4">
        <v>23604</v>
      </c>
      <c r="AA4">
        <v>51</v>
      </c>
      <c r="AB4">
        <v>23315</v>
      </c>
      <c r="AC4">
        <v>238</v>
      </c>
      <c r="AD4">
        <v>700</v>
      </c>
      <c r="AE4">
        <v>61</v>
      </c>
      <c r="AF4">
        <v>596</v>
      </c>
      <c r="AG4">
        <v>44</v>
      </c>
      <c r="AH4">
        <v>27705</v>
      </c>
      <c r="AI4">
        <v>2410</v>
      </c>
      <c r="AJ4">
        <v>1567</v>
      </c>
      <c r="AK4">
        <v>997</v>
      </c>
      <c r="AL4">
        <v>11226</v>
      </c>
      <c r="AM4">
        <v>2938</v>
      </c>
      <c r="AN4">
        <v>1682</v>
      </c>
      <c r="AO4">
        <v>1958</v>
      </c>
      <c r="AP4">
        <v>1947</v>
      </c>
      <c r="AQ4">
        <v>2978</v>
      </c>
      <c r="AR4">
        <v>28223</v>
      </c>
      <c r="AS4">
        <v>164</v>
      </c>
      <c r="AT4">
        <v>3399</v>
      </c>
      <c r="AU4">
        <v>1305</v>
      </c>
      <c r="AV4">
        <v>2999</v>
      </c>
      <c r="AW4">
        <v>3577</v>
      </c>
      <c r="AX4">
        <v>3847</v>
      </c>
      <c r="AY4">
        <v>2532</v>
      </c>
      <c r="AZ4">
        <v>2691</v>
      </c>
      <c r="BA4">
        <v>7710</v>
      </c>
      <c r="BB4">
        <v>103332</v>
      </c>
      <c r="BC4">
        <v>4429</v>
      </c>
      <c r="BD4">
        <v>7665</v>
      </c>
      <c r="BE4">
        <v>595</v>
      </c>
      <c r="BF4">
        <v>14478</v>
      </c>
      <c r="BG4">
        <v>9773</v>
      </c>
      <c r="BH4">
        <v>14598</v>
      </c>
      <c r="BI4">
        <v>13089</v>
      </c>
      <c r="BJ4">
        <v>34412</v>
      </c>
      <c r="BK4">
        <v>4295</v>
      </c>
      <c r="BL4">
        <v>40365</v>
      </c>
      <c r="BM4">
        <v>1661</v>
      </c>
      <c r="BN4">
        <v>4276</v>
      </c>
      <c r="BO4">
        <v>1462</v>
      </c>
      <c r="BP4">
        <v>8611</v>
      </c>
      <c r="BQ4">
        <v>2202</v>
      </c>
      <c r="BR4">
        <v>6756</v>
      </c>
      <c r="BS4">
        <v>1853</v>
      </c>
      <c r="BT4">
        <v>13547</v>
      </c>
      <c r="BU4">
        <v>9962</v>
      </c>
      <c r="BV4">
        <v>4</v>
      </c>
      <c r="BW4">
        <v>41</v>
      </c>
      <c r="BX4">
        <v>7</v>
      </c>
      <c r="BY4">
        <v>7468</v>
      </c>
      <c r="BZ4">
        <v>2440</v>
      </c>
      <c r="CA4">
        <v>254345</v>
      </c>
    </row>
    <row r="5" spans="1:79" x14ac:dyDescent="0.2">
      <c r="A5" t="s">
        <v>161</v>
      </c>
      <c r="B5">
        <v>14304</v>
      </c>
      <c r="C5">
        <v>155</v>
      </c>
      <c r="D5">
        <v>833</v>
      </c>
      <c r="E5">
        <v>1321</v>
      </c>
      <c r="F5">
        <v>1950</v>
      </c>
      <c r="G5">
        <v>1309</v>
      </c>
      <c r="H5">
        <v>2684</v>
      </c>
      <c r="I5">
        <v>460</v>
      </c>
      <c r="J5">
        <v>2057</v>
      </c>
      <c r="K5">
        <v>939</v>
      </c>
      <c r="L5">
        <v>2593</v>
      </c>
      <c r="M5">
        <v>3285</v>
      </c>
      <c r="N5">
        <v>2280</v>
      </c>
      <c r="O5">
        <v>1006</v>
      </c>
      <c r="P5">
        <v>3544</v>
      </c>
      <c r="Q5">
        <v>3</v>
      </c>
      <c r="R5">
        <v>111</v>
      </c>
      <c r="S5">
        <v>165</v>
      </c>
      <c r="T5">
        <v>836</v>
      </c>
      <c r="U5">
        <v>232</v>
      </c>
      <c r="V5">
        <v>91</v>
      </c>
      <c r="W5">
        <v>286</v>
      </c>
      <c r="X5">
        <v>1221</v>
      </c>
      <c r="Y5">
        <v>597</v>
      </c>
      <c r="Z5">
        <v>29805</v>
      </c>
      <c r="AA5">
        <v>139</v>
      </c>
      <c r="AB5">
        <v>29365</v>
      </c>
      <c r="AC5">
        <v>303</v>
      </c>
      <c r="AD5">
        <v>702</v>
      </c>
      <c r="AE5">
        <v>56</v>
      </c>
      <c r="AF5">
        <v>591</v>
      </c>
      <c r="AG5">
        <v>53</v>
      </c>
      <c r="AH5">
        <v>28054</v>
      </c>
      <c r="AI5">
        <v>2363</v>
      </c>
      <c r="AJ5">
        <v>1578</v>
      </c>
      <c r="AK5">
        <v>1019</v>
      </c>
      <c r="AL5">
        <v>11138</v>
      </c>
      <c r="AM5">
        <v>3084</v>
      </c>
      <c r="AN5">
        <v>1640</v>
      </c>
      <c r="AO5">
        <v>2109</v>
      </c>
      <c r="AP5">
        <v>1994</v>
      </c>
      <c r="AQ5">
        <v>3131</v>
      </c>
      <c r="AR5">
        <v>28701</v>
      </c>
      <c r="AS5">
        <v>160</v>
      </c>
      <c r="AT5">
        <v>3580</v>
      </c>
      <c r="AU5">
        <v>1408</v>
      </c>
      <c r="AV5">
        <v>2935</v>
      </c>
      <c r="AW5">
        <v>3604</v>
      </c>
      <c r="AX5">
        <v>3794</v>
      </c>
      <c r="AY5">
        <v>3059</v>
      </c>
      <c r="AZ5">
        <v>2479</v>
      </c>
      <c r="BA5">
        <v>7685</v>
      </c>
      <c r="BB5">
        <v>117933</v>
      </c>
      <c r="BC5">
        <v>4763</v>
      </c>
      <c r="BD5">
        <v>8870</v>
      </c>
      <c r="BE5">
        <v>639</v>
      </c>
      <c r="BF5">
        <v>13380</v>
      </c>
      <c r="BG5">
        <v>10489</v>
      </c>
      <c r="BH5">
        <v>15584</v>
      </c>
      <c r="BI5">
        <v>14637</v>
      </c>
      <c r="BJ5">
        <v>37308</v>
      </c>
      <c r="BK5">
        <v>12266</v>
      </c>
      <c r="BL5">
        <v>40571</v>
      </c>
      <c r="BM5">
        <v>1629</v>
      </c>
      <c r="BN5">
        <v>4256</v>
      </c>
      <c r="BO5">
        <v>1537</v>
      </c>
      <c r="BP5">
        <v>8736</v>
      </c>
      <c r="BQ5">
        <v>2177</v>
      </c>
      <c r="BR5">
        <v>6544</v>
      </c>
      <c r="BS5">
        <v>1821</v>
      </c>
      <c r="BT5">
        <v>13867</v>
      </c>
      <c r="BU5">
        <v>21397</v>
      </c>
      <c r="BV5">
        <v>12</v>
      </c>
      <c r="BW5">
        <v>21</v>
      </c>
      <c r="BX5">
        <v>3</v>
      </c>
      <c r="BY5">
        <v>6220</v>
      </c>
      <c r="BZ5">
        <v>15140</v>
      </c>
      <c r="CA5">
        <v>288291</v>
      </c>
    </row>
    <row r="6" spans="1:79" x14ac:dyDescent="0.2">
      <c r="A6" t="s">
        <v>162</v>
      </c>
      <c r="B6">
        <v>15132</v>
      </c>
      <c r="C6">
        <v>168</v>
      </c>
      <c r="D6">
        <v>822</v>
      </c>
      <c r="E6">
        <v>1420</v>
      </c>
      <c r="F6">
        <v>2013</v>
      </c>
      <c r="G6">
        <v>1479</v>
      </c>
      <c r="H6">
        <v>2647</v>
      </c>
      <c r="I6">
        <v>483</v>
      </c>
      <c r="J6">
        <v>2031</v>
      </c>
      <c r="K6">
        <v>1100</v>
      </c>
      <c r="L6">
        <v>2970</v>
      </c>
      <c r="M6">
        <v>3541</v>
      </c>
      <c r="N6">
        <v>2480</v>
      </c>
      <c r="O6">
        <v>1063</v>
      </c>
      <c r="P6">
        <v>3985</v>
      </c>
      <c r="Q6">
        <v>2</v>
      </c>
      <c r="R6">
        <v>115</v>
      </c>
      <c r="S6">
        <v>160</v>
      </c>
      <c r="T6">
        <v>1041</v>
      </c>
      <c r="U6">
        <v>284</v>
      </c>
      <c r="V6">
        <v>99</v>
      </c>
      <c r="W6">
        <v>316</v>
      </c>
      <c r="X6">
        <v>1306</v>
      </c>
      <c r="Y6">
        <v>662</v>
      </c>
      <c r="Z6">
        <v>40512</v>
      </c>
      <c r="AA6">
        <v>178</v>
      </c>
      <c r="AB6">
        <v>39947</v>
      </c>
      <c r="AC6">
        <v>390</v>
      </c>
      <c r="AD6">
        <v>756</v>
      </c>
      <c r="AE6">
        <v>70</v>
      </c>
      <c r="AF6">
        <v>627</v>
      </c>
      <c r="AG6">
        <v>54</v>
      </c>
      <c r="AH6">
        <v>29837</v>
      </c>
      <c r="AI6">
        <v>2507</v>
      </c>
      <c r="AJ6">
        <v>1107</v>
      </c>
      <c r="AK6">
        <v>1111</v>
      </c>
      <c r="AL6">
        <v>11782</v>
      </c>
      <c r="AM6">
        <v>3595</v>
      </c>
      <c r="AN6">
        <v>1915</v>
      </c>
      <c r="AO6">
        <v>2460</v>
      </c>
      <c r="AP6">
        <v>2196</v>
      </c>
      <c r="AQ6">
        <v>3161</v>
      </c>
      <c r="AR6">
        <v>32443</v>
      </c>
      <c r="AS6">
        <v>154</v>
      </c>
      <c r="AT6">
        <v>3966</v>
      </c>
      <c r="AU6">
        <v>1596</v>
      </c>
      <c r="AV6">
        <v>3163</v>
      </c>
      <c r="AW6">
        <v>3816</v>
      </c>
      <c r="AX6">
        <v>4038</v>
      </c>
      <c r="AY6">
        <v>3901</v>
      </c>
      <c r="AZ6">
        <v>2775</v>
      </c>
      <c r="BA6">
        <v>9039</v>
      </c>
      <c r="BB6">
        <v>121404</v>
      </c>
      <c r="BC6">
        <v>5936</v>
      </c>
      <c r="BD6">
        <v>10484</v>
      </c>
      <c r="BE6">
        <v>751</v>
      </c>
      <c r="BF6">
        <v>14952</v>
      </c>
      <c r="BG6">
        <v>11907</v>
      </c>
      <c r="BH6">
        <v>17166</v>
      </c>
      <c r="BI6">
        <v>16823</v>
      </c>
      <c r="BJ6">
        <v>39091</v>
      </c>
      <c r="BK6">
        <v>4294</v>
      </c>
      <c r="BL6">
        <v>44299</v>
      </c>
      <c r="BM6">
        <v>1789</v>
      </c>
      <c r="BN6">
        <v>4874</v>
      </c>
      <c r="BO6">
        <v>1843</v>
      </c>
      <c r="BP6">
        <v>9479</v>
      </c>
      <c r="BQ6">
        <v>2324</v>
      </c>
      <c r="BR6">
        <v>7364</v>
      </c>
      <c r="BS6">
        <v>1934</v>
      </c>
      <c r="BT6">
        <v>14691</v>
      </c>
      <c r="BU6">
        <v>12140</v>
      </c>
      <c r="BV6">
        <v>5</v>
      </c>
      <c r="BW6">
        <v>30</v>
      </c>
      <c r="BX6">
        <v>7</v>
      </c>
      <c r="BY6">
        <v>6385</v>
      </c>
      <c r="BZ6">
        <v>5711</v>
      </c>
      <c r="CA6">
        <v>304050</v>
      </c>
    </row>
    <row r="7" spans="1:79" x14ac:dyDescent="0.2">
      <c r="A7" t="s">
        <v>163</v>
      </c>
      <c r="B7">
        <v>16938</v>
      </c>
      <c r="C7">
        <v>145</v>
      </c>
      <c r="D7">
        <v>1029</v>
      </c>
      <c r="E7">
        <v>1477</v>
      </c>
      <c r="F7">
        <v>2034</v>
      </c>
      <c r="G7">
        <v>1916</v>
      </c>
      <c r="H7">
        <v>2806</v>
      </c>
      <c r="I7">
        <v>485</v>
      </c>
      <c r="J7">
        <v>2131</v>
      </c>
      <c r="K7">
        <v>1238</v>
      </c>
      <c r="L7">
        <v>3678</v>
      </c>
      <c r="M7">
        <v>3798</v>
      </c>
      <c r="N7">
        <v>2688</v>
      </c>
      <c r="O7">
        <v>1113</v>
      </c>
      <c r="P7">
        <v>3138</v>
      </c>
      <c r="Q7">
        <v>7</v>
      </c>
      <c r="R7">
        <v>127</v>
      </c>
      <c r="S7">
        <v>147</v>
      </c>
      <c r="T7">
        <v>801</v>
      </c>
      <c r="U7">
        <v>260</v>
      </c>
      <c r="V7">
        <v>98</v>
      </c>
      <c r="W7">
        <v>286</v>
      </c>
      <c r="X7">
        <v>744</v>
      </c>
      <c r="Y7">
        <v>665</v>
      </c>
      <c r="Z7">
        <v>38794</v>
      </c>
      <c r="AA7">
        <v>203</v>
      </c>
      <c r="AB7">
        <v>38357</v>
      </c>
      <c r="AC7">
        <v>236</v>
      </c>
      <c r="AD7">
        <v>725</v>
      </c>
      <c r="AE7">
        <v>83</v>
      </c>
      <c r="AF7">
        <v>579</v>
      </c>
      <c r="AG7">
        <v>64</v>
      </c>
      <c r="AH7">
        <v>31024</v>
      </c>
      <c r="AI7">
        <v>2260</v>
      </c>
      <c r="AJ7">
        <v>1031</v>
      </c>
      <c r="AK7">
        <v>1084</v>
      </c>
      <c r="AL7">
        <v>13112</v>
      </c>
      <c r="AM7">
        <v>3865</v>
      </c>
      <c r="AN7">
        <v>2150</v>
      </c>
      <c r="AO7">
        <v>2211</v>
      </c>
      <c r="AP7">
        <v>2226</v>
      </c>
      <c r="AQ7">
        <v>3090</v>
      </c>
      <c r="AR7">
        <v>32286</v>
      </c>
      <c r="AS7">
        <v>143</v>
      </c>
      <c r="AT7">
        <v>4242</v>
      </c>
      <c r="AU7">
        <v>1517</v>
      </c>
      <c r="AV7">
        <v>3336</v>
      </c>
      <c r="AW7">
        <v>3834</v>
      </c>
      <c r="AX7">
        <v>4110</v>
      </c>
      <c r="AY7">
        <v>3271</v>
      </c>
      <c r="AZ7">
        <v>2874</v>
      </c>
      <c r="BA7">
        <v>8957</v>
      </c>
      <c r="BB7">
        <v>123286</v>
      </c>
      <c r="BC7">
        <v>6310</v>
      </c>
      <c r="BD7">
        <v>10688</v>
      </c>
      <c r="BE7">
        <v>864</v>
      </c>
      <c r="BF7">
        <v>15646</v>
      </c>
      <c r="BG7">
        <v>11737</v>
      </c>
      <c r="BH7">
        <v>17648</v>
      </c>
      <c r="BI7">
        <v>17451</v>
      </c>
      <c r="BJ7">
        <v>37286</v>
      </c>
      <c r="BK7">
        <v>5660</v>
      </c>
      <c r="BL7">
        <v>46308</v>
      </c>
      <c r="BM7">
        <v>1742</v>
      </c>
      <c r="BN7">
        <v>4983</v>
      </c>
      <c r="BO7">
        <v>1886</v>
      </c>
      <c r="BP7">
        <v>10205</v>
      </c>
      <c r="BQ7">
        <v>2564</v>
      </c>
      <c r="BR7">
        <v>7726</v>
      </c>
      <c r="BS7">
        <v>2078</v>
      </c>
      <c r="BT7">
        <v>15133</v>
      </c>
      <c r="BU7">
        <v>11251</v>
      </c>
      <c r="BV7">
        <v>5</v>
      </c>
      <c r="BW7">
        <v>33</v>
      </c>
      <c r="BX7">
        <v>2</v>
      </c>
      <c r="BY7">
        <v>6772</v>
      </c>
      <c r="BZ7">
        <v>4434</v>
      </c>
      <c r="CA7">
        <v>307549</v>
      </c>
    </row>
    <row r="8" spans="1:79" x14ac:dyDescent="0.2">
      <c r="A8" t="s">
        <v>164</v>
      </c>
      <c r="B8">
        <v>17607</v>
      </c>
      <c r="C8">
        <v>157</v>
      </c>
      <c r="D8">
        <v>905</v>
      </c>
      <c r="E8">
        <v>1589</v>
      </c>
      <c r="F8">
        <v>1882</v>
      </c>
      <c r="G8">
        <v>2088</v>
      </c>
      <c r="H8">
        <v>3107</v>
      </c>
      <c r="I8">
        <v>489</v>
      </c>
      <c r="J8">
        <v>2208</v>
      </c>
      <c r="K8">
        <v>1355</v>
      </c>
      <c r="L8">
        <v>3824</v>
      </c>
      <c r="M8">
        <v>3475</v>
      </c>
      <c r="N8">
        <v>2585</v>
      </c>
      <c r="O8">
        <v>891</v>
      </c>
      <c r="P8">
        <v>3257</v>
      </c>
      <c r="Q8">
        <v>7</v>
      </c>
      <c r="R8">
        <v>141</v>
      </c>
      <c r="S8">
        <v>122</v>
      </c>
      <c r="T8">
        <v>801</v>
      </c>
      <c r="U8">
        <v>240</v>
      </c>
      <c r="V8">
        <v>97</v>
      </c>
      <c r="W8">
        <v>298</v>
      </c>
      <c r="X8">
        <v>870</v>
      </c>
      <c r="Y8">
        <v>686</v>
      </c>
      <c r="Z8">
        <v>23108</v>
      </c>
      <c r="AA8">
        <v>148</v>
      </c>
      <c r="AB8">
        <v>22720</v>
      </c>
      <c r="AC8">
        <v>242</v>
      </c>
      <c r="AD8">
        <v>766</v>
      </c>
      <c r="AE8">
        <v>85</v>
      </c>
      <c r="AF8">
        <v>627</v>
      </c>
      <c r="AG8">
        <v>55</v>
      </c>
      <c r="AH8">
        <v>33291</v>
      </c>
      <c r="AI8">
        <v>2668</v>
      </c>
      <c r="AJ8">
        <v>1043</v>
      </c>
      <c r="AK8">
        <v>1084</v>
      </c>
      <c r="AL8">
        <v>13802</v>
      </c>
      <c r="AM8">
        <v>3970</v>
      </c>
      <c r="AN8">
        <v>2122</v>
      </c>
      <c r="AO8">
        <v>2138</v>
      </c>
      <c r="AP8">
        <v>2294</v>
      </c>
      <c r="AQ8">
        <v>4167</v>
      </c>
      <c r="AR8">
        <v>34399</v>
      </c>
      <c r="AS8">
        <v>135</v>
      </c>
      <c r="AT8">
        <v>4089</v>
      </c>
      <c r="AU8">
        <v>1419</v>
      </c>
      <c r="AV8">
        <v>3274</v>
      </c>
      <c r="AW8">
        <v>5896</v>
      </c>
      <c r="AX8">
        <v>3869</v>
      </c>
      <c r="AY8">
        <v>3134</v>
      </c>
      <c r="AZ8">
        <v>3596</v>
      </c>
      <c r="BA8">
        <v>8988</v>
      </c>
      <c r="BB8">
        <v>119746</v>
      </c>
      <c r="BC8">
        <v>5691</v>
      </c>
      <c r="BD8">
        <v>10600</v>
      </c>
      <c r="BE8">
        <v>751</v>
      </c>
      <c r="BF8">
        <v>15673</v>
      </c>
      <c r="BG8">
        <v>12455</v>
      </c>
      <c r="BH8">
        <v>17588</v>
      </c>
      <c r="BI8">
        <v>17885</v>
      </c>
      <c r="BJ8">
        <v>33502</v>
      </c>
      <c r="BK8">
        <v>5595</v>
      </c>
      <c r="BL8">
        <v>46038</v>
      </c>
      <c r="BM8">
        <v>1726</v>
      </c>
      <c r="BN8">
        <v>5224</v>
      </c>
      <c r="BO8">
        <v>1512</v>
      </c>
      <c r="BP8">
        <v>10186</v>
      </c>
      <c r="BQ8">
        <v>2107</v>
      </c>
      <c r="BR8">
        <v>7758</v>
      </c>
      <c r="BS8">
        <v>1879</v>
      </c>
      <c r="BT8">
        <v>15649</v>
      </c>
      <c r="BU8">
        <v>11914</v>
      </c>
      <c r="BV8">
        <v>2</v>
      </c>
      <c r="BW8">
        <v>60</v>
      </c>
      <c r="BX8">
        <v>12</v>
      </c>
      <c r="BY8">
        <v>9208</v>
      </c>
      <c r="BZ8">
        <v>2632</v>
      </c>
      <c r="CA8">
        <v>293603</v>
      </c>
    </row>
    <row r="9" spans="1:79" x14ac:dyDescent="0.2">
      <c r="A9" t="s">
        <v>165</v>
      </c>
      <c r="B9">
        <v>16410</v>
      </c>
      <c r="C9">
        <v>156</v>
      </c>
      <c r="D9">
        <v>966</v>
      </c>
      <c r="E9">
        <v>1438</v>
      </c>
      <c r="F9">
        <v>1874</v>
      </c>
      <c r="G9">
        <v>1727</v>
      </c>
      <c r="H9">
        <v>2837</v>
      </c>
      <c r="I9">
        <v>491</v>
      </c>
      <c r="J9">
        <v>2164</v>
      </c>
      <c r="K9">
        <v>1220</v>
      </c>
      <c r="L9">
        <v>3535</v>
      </c>
      <c r="M9">
        <v>3449</v>
      </c>
      <c r="N9">
        <v>2744</v>
      </c>
      <c r="O9">
        <v>704</v>
      </c>
      <c r="P9">
        <v>4247</v>
      </c>
      <c r="Q9">
        <v>2</v>
      </c>
      <c r="R9">
        <v>102</v>
      </c>
      <c r="S9">
        <v>134</v>
      </c>
      <c r="T9">
        <v>1051</v>
      </c>
      <c r="U9">
        <v>281</v>
      </c>
      <c r="V9">
        <v>115</v>
      </c>
      <c r="W9">
        <v>426</v>
      </c>
      <c r="X9">
        <v>1425</v>
      </c>
      <c r="Y9">
        <v>712</v>
      </c>
      <c r="Z9">
        <v>34552</v>
      </c>
      <c r="AA9">
        <v>200</v>
      </c>
      <c r="AB9">
        <v>34044</v>
      </c>
      <c r="AC9">
        <v>310</v>
      </c>
      <c r="AD9">
        <v>831</v>
      </c>
      <c r="AE9">
        <v>90</v>
      </c>
      <c r="AF9">
        <v>680</v>
      </c>
      <c r="AG9">
        <v>61</v>
      </c>
      <c r="AH9">
        <v>37021</v>
      </c>
      <c r="AI9">
        <v>3051</v>
      </c>
      <c r="AJ9">
        <v>1286</v>
      </c>
      <c r="AK9">
        <v>1152</v>
      </c>
      <c r="AL9">
        <v>14770</v>
      </c>
      <c r="AM9">
        <v>3861</v>
      </c>
      <c r="AN9">
        <v>3289</v>
      </c>
      <c r="AO9">
        <v>2677</v>
      </c>
      <c r="AP9">
        <v>2448</v>
      </c>
      <c r="AQ9">
        <v>4490</v>
      </c>
      <c r="AR9">
        <v>36977</v>
      </c>
      <c r="AS9">
        <v>174</v>
      </c>
      <c r="AT9">
        <v>4349</v>
      </c>
      <c r="AU9">
        <v>1678</v>
      </c>
      <c r="AV9">
        <v>3217</v>
      </c>
      <c r="AW9">
        <v>4692</v>
      </c>
      <c r="AX9">
        <v>4281</v>
      </c>
      <c r="AY9">
        <v>4050</v>
      </c>
      <c r="AZ9">
        <v>4056</v>
      </c>
      <c r="BA9">
        <v>10479</v>
      </c>
      <c r="BB9">
        <v>135405</v>
      </c>
      <c r="BC9">
        <v>5352</v>
      </c>
      <c r="BD9">
        <v>12971</v>
      </c>
      <c r="BE9">
        <v>971</v>
      </c>
      <c r="BF9">
        <v>16935</v>
      </c>
      <c r="BG9">
        <v>13204</v>
      </c>
      <c r="BH9">
        <v>17682</v>
      </c>
      <c r="BI9">
        <v>19654</v>
      </c>
      <c r="BJ9">
        <v>42876</v>
      </c>
      <c r="BK9">
        <v>5759</v>
      </c>
      <c r="BL9">
        <v>50131</v>
      </c>
      <c r="BM9">
        <v>1958</v>
      </c>
      <c r="BN9">
        <v>5647</v>
      </c>
      <c r="BO9">
        <v>1632</v>
      </c>
      <c r="BP9">
        <v>10984</v>
      </c>
      <c r="BQ9">
        <v>2411</v>
      </c>
      <c r="BR9">
        <v>8175</v>
      </c>
      <c r="BS9">
        <v>2067</v>
      </c>
      <c r="BT9">
        <v>17260</v>
      </c>
      <c r="BU9">
        <v>11211</v>
      </c>
      <c r="BV9">
        <v>4</v>
      </c>
      <c r="BW9">
        <v>56</v>
      </c>
      <c r="BX9">
        <v>11</v>
      </c>
      <c r="BY9">
        <v>6525</v>
      </c>
      <c r="BZ9">
        <v>4615</v>
      </c>
      <c r="CA9">
        <v>330234</v>
      </c>
    </row>
    <row r="10" spans="1:79" x14ac:dyDescent="0.2">
      <c r="A10" t="s">
        <v>166</v>
      </c>
      <c r="B10">
        <v>19518</v>
      </c>
      <c r="C10">
        <v>167</v>
      </c>
      <c r="D10">
        <v>1070</v>
      </c>
      <c r="E10">
        <v>1809</v>
      </c>
      <c r="F10">
        <v>2449</v>
      </c>
      <c r="G10">
        <v>2011</v>
      </c>
      <c r="H10">
        <v>3163</v>
      </c>
      <c r="I10">
        <v>565</v>
      </c>
      <c r="J10">
        <v>2566</v>
      </c>
      <c r="K10">
        <v>1660</v>
      </c>
      <c r="L10">
        <v>4063</v>
      </c>
      <c r="M10">
        <v>3850</v>
      </c>
      <c r="N10">
        <v>3170</v>
      </c>
      <c r="O10">
        <v>682</v>
      </c>
      <c r="P10">
        <v>4653</v>
      </c>
      <c r="Q10">
        <v>4</v>
      </c>
      <c r="R10">
        <v>135</v>
      </c>
      <c r="S10">
        <v>148</v>
      </c>
      <c r="T10">
        <v>1444</v>
      </c>
      <c r="U10">
        <v>365</v>
      </c>
      <c r="V10">
        <v>125</v>
      </c>
      <c r="W10">
        <v>604</v>
      </c>
      <c r="X10">
        <v>945</v>
      </c>
      <c r="Y10">
        <v>881</v>
      </c>
      <c r="Z10">
        <v>65806</v>
      </c>
      <c r="AA10">
        <v>375</v>
      </c>
      <c r="AB10">
        <v>65082</v>
      </c>
      <c r="AC10">
        <v>352</v>
      </c>
      <c r="AD10">
        <v>1094</v>
      </c>
      <c r="AE10">
        <v>128</v>
      </c>
      <c r="AF10">
        <v>888</v>
      </c>
      <c r="AG10">
        <v>76</v>
      </c>
      <c r="AH10">
        <v>51393</v>
      </c>
      <c r="AI10">
        <v>3755</v>
      </c>
      <c r="AJ10">
        <v>3401</v>
      </c>
      <c r="AK10">
        <v>1267</v>
      </c>
      <c r="AL10">
        <v>19106</v>
      </c>
      <c r="AM10">
        <v>4657</v>
      </c>
      <c r="AN10">
        <v>5706</v>
      </c>
      <c r="AO10">
        <v>3148</v>
      </c>
      <c r="AP10">
        <v>2866</v>
      </c>
      <c r="AQ10">
        <v>7484</v>
      </c>
      <c r="AR10">
        <v>44021</v>
      </c>
      <c r="AS10">
        <v>202</v>
      </c>
      <c r="AT10">
        <v>5123</v>
      </c>
      <c r="AU10">
        <v>2045</v>
      </c>
      <c r="AV10">
        <v>3802</v>
      </c>
      <c r="AW10">
        <v>5323</v>
      </c>
      <c r="AX10">
        <v>4835</v>
      </c>
      <c r="AY10">
        <v>5214</v>
      </c>
      <c r="AZ10">
        <v>5023</v>
      </c>
      <c r="BA10">
        <v>12450</v>
      </c>
      <c r="BB10">
        <v>156900</v>
      </c>
      <c r="BC10">
        <v>6250</v>
      </c>
      <c r="BD10">
        <v>15810</v>
      </c>
      <c r="BE10">
        <v>1095</v>
      </c>
      <c r="BF10">
        <v>19875</v>
      </c>
      <c r="BG10">
        <v>14727</v>
      </c>
      <c r="BH10">
        <v>20341</v>
      </c>
      <c r="BI10">
        <v>23299</v>
      </c>
      <c r="BJ10">
        <v>50050</v>
      </c>
      <c r="BK10">
        <v>5454</v>
      </c>
      <c r="BL10">
        <v>57476</v>
      </c>
      <c r="BM10">
        <v>2136</v>
      </c>
      <c r="BN10">
        <v>6266</v>
      </c>
      <c r="BO10">
        <v>2203</v>
      </c>
      <c r="BP10">
        <v>12829</v>
      </c>
      <c r="BQ10">
        <v>3104</v>
      </c>
      <c r="BR10">
        <v>9104</v>
      </c>
      <c r="BS10">
        <v>2481</v>
      </c>
      <c r="BT10">
        <v>19352</v>
      </c>
      <c r="BU10">
        <v>12292</v>
      </c>
      <c r="BV10">
        <v>3</v>
      </c>
      <c r="BW10">
        <v>80</v>
      </c>
      <c r="BX10">
        <v>17</v>
      </c>
      <c r="BY10">
        <v>6959</v>
      </c>
      <c r="BZ10">
        <v>5229</v>
      </c>
      <c r="CA10">
        <v>417002</v>
      </c>
    </row>
    <row r="11" spans="1:79" x14ac:dyDescent="0.2">
      <c r="A11" t="s">
        <v>167</v>
      </c>
      <c r="B11">
        <v>19684</v>
      </c>
      <c r="C11">
        <v>212</v>
      </c>
      <c r="D11">
        <v>1035</v>
      </c>
      <c r="E11">
        <v>2034</v>
      </c>
      <c r="F11">
        <v>2230</v>
      </c>
      <c r="G11">
        <v>2136</v>
      </c>
      <c r="H11">
        <v>3366</v>
      </c>
      <c r="I11">
        <v>611</v>
      </c>
      <c r="J11">
        <v>2582</v>
      </c>
      <c r="K11">
        <v>1438</v>
      </c>
      <c r="L11">
        <v>4035</v>
      </c>
      <c r="M11">
        <v>3518</v>
      </c>
      <c r="N11">
        <v>2928</v>
      </c>
      <c r="O11">
        <v>588</v>
      </c>
      <c r="P11">
        <v>3931</v>
      </c>
      <c r="Q11">
        <v>2</v>
      </c>
      <c r="R11">
        <v>120</v>
      </c>
      <c r="S11">
        <v>130</v>
      </c>
      <c r="T11">
        <v>841</v>
      </c>
      <c r="U11">
        <v>280</v>
      </c>
      <c r="V11">
        <v>119</v>
      </c>
      <c r="W11">
        <v>478</v>
      </c>
      <c r="X11">
        <v>1019</v>
      </c>
      <c r="Y11">
        <v>942</v>
      </c>
      <c r="Z11">
        <v>60651</v>
      </c>
      <c r="AA11">
        <v>306</v>
      </c>
      <c r="AB11">
        <v>60057</v>
      </c>
      <c r="AC11">
        <v>293</v>
      </c>
      <c r="AD11">
        <v>988</v>
      </c>
      <c r="AE11">
        <v>161</v>
      </c>
      <c r="AF11">
        <v>750</v>
      </c>
      <c r="AG11">
        <v>78</v>
      </c>
      <c r="AH11">
        <v>42831</v>
      </c>
      <c r="AI11">
        <v>2720</v>
      </c>
      <c r="AJ11">
        <v>2830</v>
      </c>
      <c r="AK11">
        <v>1148</v>
      </c>
      <c r="AL11">
        <v>17000</v>
      </c>
      <c r="AM11">
        <v>5168</v>
      </c>
      <c r="AN11">
        <v>3561</v>
      </c>
      <c r="AO11">
        <v>2728</v>
      </c>
      <c r="AP11">
        <v>2703</v>
      </c>
      <c r="AQ11">
        <v>4973</v>
      </c>
      <c r="AR11">
        <v>40640</v>
      </c>
      <c r="AS11">
        <v>176</v>
      </c>
      <c r="AT11">
        <v>5189</v>
      </c>
      <c r="AU11">
        <v>1733</v>
      </c>
      <c r="AV11">
        <v>3827</v>
      </c>
      <c r="AW11">
        <v>4277</v>
      </c>
      <c r="AX11">
        <v>4605</v>
      </c>
      <c r="AY11">
        <v>4746</v>
      </c>
      <c r="AZ11">
        <v>4174</v>
      </c>
      <c r="BA11">
        <v>11917</v>
      </c>
      <c r="BB11">
        <v>173355</v>
      </c>
      <c r="BC11">
        <v>7368</v>
      </c>
      <c r="BD11">
        <v>18321</v>
      </c>
      <c r="BE11">
        <v>1171</v>
      </c>
      <c r="BF11">
        <v>20852</v>
      </c>
      <c r="BG11">
        <v>12531</v>
      </c>
      <c r="BH11">
        <v>20204</v>
      </c>
      <c r="BI11">
        <v>23989</v>
      </c>
      <c r="BJ11">
        <v>62922</v>
      </c>
      <c r="BK11">
        <v>5995</v>
      </c>
      <c r="BL11">
        <v>55698</v>
      </c>
      <c r="BM11">
        <v>1960</v>
      </c>
      <c r="BN11">
        <v>5336</v>
      </c>
      <c r="BO11">
        <v>2249</v>
      </c>
      <c r="BP11">
        <v>12165</v>
      </c>
      <c r="BQ11">
        <v>2886</v>
      </c>
      <c r="BR11">
        <v>10010</v>
      </c>
      <c r="BS11">
        <v>2601</v>
      </c>
      <c r="BT11">
        <v>18494</v>
      </c>
      <c r="BU11">
        <v>12575</v>
      </c>
      <c r="BV11">
        <v>6</v>
      </c>
      <c r="BW11">
        <v>66</v>
      </c>
      <c r="BX11">
        <v>19</v>
      </c>
      <c r="BY11">
        <v>8565</v>
      </c>
      <c r="BZ11">
        <v>3917</v>
      </c>
      <c r="CA11">
        <v>413869</v>
      </c>
    </row>
    <row r="12" spans="1:79" x14ac:dyDescent="0.2">
      <c r="A12" t="s">
        <v>247</v>
      </c>
      <c r="B12">
        <v>22293</v>
      </c>
      <c r="C12">
        <v>201</v>
      </c>
      <c r="D12">
        <v>1251</v>
      </c>
      <c r="E12">
        <v>1935</v>
      </c>
      <c r="F12">
        <v>2405</v>
      </c>
      <c r="G12">
        <v>2526</v>
      </c>
      <c r="H12">
        <v>3913</v>
      </c>
      <c r="I12">
        <v>688</v>
      </c>
      <c r="J12">
        <v>3250</v>
      </c>
      <c r="K12">
        <v>1647</v>
      </c>
      <c r="L12">
        <v>4477</v>
      </c>
      <c r="M12">
        <v>3349</v>
      </c>
      <c r="N12">
        <v>2906</v>
      </c>
      <c r="O12">
        <v>441</v>
      </c>
      <c r="P12">
        <v>4119</v>
      </c>
      <c r="Q12">
        <v>6</v>
      </c>
      <c r="R12">
        <v>151</v>
      </c>
      <c r="S12">
        <v>141</v>
      </c>
      <c r="T12">
        <v>917</v>
      </c>
      <c r="U12">
        <v>276</v>
      </c>
      <c r="V12">
        <v>121</v>
      </c>
      <c r="W12">
        <v>362</v>
      </c>
      <c r="X12">
        <v>1143</v>
      </c>
      <c r="Y12">
        <v>1006</v>
      </c>
      <c r="Z12">
        <v>56749</v>
      </c>
      <c r="AA12">
        <v>260</v>
      </c>
      <c r="AB12">
        <v>56183</v>
      </c>
      <c r="AC12">
        <v>306</v>
      </c>
      <c r="AD12">
        <v>1257</v>
      </c>
      <c r="AE12">
        <v>204</v>
      </c>
      <c r="AF12">
        <v>973</v>
      </c>
      <c r="AG12">
        <v>78</v>
      </c>
      <c r="AH12">
        <v>45032</v>
      </c>
      <c r="AI12">
        <v>2723</v>
      </c>
      <c r="AJ12">
        <v>2683</v>
      </c>
      <c r="AK12">
        <v>1265</v>
      </c>
      <c r="AL12">
        <v>17012</v>
      </c>
      <c r="AM12">
        <v>5568</v>
      </c>
      <c r="AN12">
        <v>4652</v>
      </c>
      <c r="AO12">
        <v>2957</v>
      </c>
      <c r="AP12">
        <v>2840</v>
      </c>
      <c r="AQ12">
        <v>5337</v>
      </c>
      <c r="AR12">
        <v>43611</v>
      </c>
      <c r="AS12">
        <v>151</v>
      </c>
      <c r="AT12">
        <v>5553</v>
      </c>
      <c r="AU12">
        <v>1776</v>
      </c>
      <c r="AV12">
        <v>4210</v>
      </c>
      <c r="AW12">
        <v>4547</v>
      </c>
      <c r="AX12">
        <v>4461</v>
      </c>
      <c r="AY12">
        <v>5952</v>
      </c>
      <c r="AZ12">
        <v>4285</v>
      </c>
      <c r="BA12">
        <v>12677</v>
      </c>
      <c r="BB12">
        <v>180686</v>
      </c>
      <c r="BC12">
        <v>7929</v>
      </c>
      <c r="BD12">
        <v>15321</v>
      </c>
      <c r="BE12">
        <v>1101</v>
      </c>
      <c r="BF12">
        <v>23737</v>
      </c>
      <c r="BG12">
        <v>14902</v>
      </c>
      <c r="BH12">
        <v>20144</v>
      </c>
      <c r="BI12">
        <v>28336</v>
      </c>
      <c r="BJ12">
        <v>62025</v>
      </c>
      <c r="BK12">
        <v>7195</v>
      </c>
      <c r="BL12">
        <v>59310</v>
      </c>
      <c r="BM12">
        <v>1973</v>
      </c>
      <c r="BN12">
        <v>5994</v>
      </c>
      <c r="BO12">
        <v>2216</v>
      </c>
      <c r="BP12">
        <v>12814</v>
      </c>
      <c r="BQ12">
        <v>2948</v>
      </c>
      <c r="BR12">
        <v>10288</v>
      </c>
      <c r="BS12">
        <v>2713</v>
      </c>
      <c r="BT12">
        <v>20362</v>
      </c>
      <c r="BU12">
        <v>13470</v>
      </c>
      <c r="BV12">
        <v>1</v>
      </c>
      <c r="BW12">
        <v>57</v>
      </c>
      <c r="BX12">
        <v>18</v>
      </c>
      <c r="BY12">
        <v>9876</v>
      </c>
      <c r="BZ12">
        <v>3513</v>
      </c>
      <c r="CA12">
        <v>429873</v>
      </c>
    </row>
    <row r="13" spans="1:79" x14ac:dyDescent="0.2">
      <c r="A13" t="s">
        <v>248</v>
      </c>
      <c r="B13">
        <v>24515</v>
      </c>
      <c r="C13">
        <v>190</v>
      </c>
      <c r="D13">
        <v>1252</v>
      </c>
      <c r="E13">
        <v>2295</v>
      </c>
      <c r="F13">
        <v>2548</v>
      </c>
      <c r="G13">
        <v>2618</v>
      </c>
      <c r="H13">
        <v>4138</v>
      </c>
      <c r="I13">
        <v>715</v>
      </c>
      <c r="J13">
        <v>4510</v>
      </c>
      <c r="K13">
        <v>1518</v>
      </c>
      <c r="L13">
        <v>4731</v>
      </c>
      <c r="M13">
        <v>3378</v>
      </c>
      <c r="N13">
        <v>2913</v>
      </c>
      <c r="O13">
        <v>463</v>
      </c>
      <c r="P13">
        <v>5285</v>
      </c>
      <c r="Q13">
        <v>7</v>
      </c>
      <c r="R13">
        <v>145</v>
      </c>
      <c r="S13">
        <v>142</v>
      </c>
      <c r="T13">
        <v>953</v>
      </c>
      <c r="U13">
        <v>270</v>
      </c>
      <c r="V13">
        <v>127</v>
      </c>
      <c r="W13">
        <v>481</v>
      </c>
      <c r="X13">
        <v>2129</v>
      </c>
      <c r="Y13">
        <v>1030</v>
      </c>
      <c r="Z13">
        <v>53258</v>
      </c>
      <c r="AA13">
        <v>197</v>
      </c>
      <c r="AB13">
        <v>52742</v>
      </c>
      <c r="AC13">
        <v>317</v>
      </c>
      <c r="AD13">
        <v>1282</v>
      </c>
      <c r="AE13">
        <v>135</v>
      </c>
      <c r="AF13">
        <v>1052</v>
      </c>
      <c r="AG13">
        <v>94</v>
      </c>
      <c r="AH13">
        <v>47675</v>
      </c>
      <c r="AI13">
        <v>2807</v>
      </c>
      <c r="AJ13">
        <v>2888</v>
      </c>
      <c r="AK13">
        <v>1234</v>
      </c>
      <c r="AL13">
        <v>18490</v>
      </c>
      <c r="AM13">
        <v>5842</v>
      </c>
      <c r="AN13">
        <v>5109</v>
      </c>
      <c r="AO13">
        <v>2795</v>
      </c>
      <c r="AP13">
        <v>3004</v>
      </c>
      <c r="AQ13">
        <v>5504</v>
      </c>
      <c r="AR13">
        <v>45872</v>
      </c>
      <c r="AS13">
        <v>150</v>
      </c>
      <c r="AT13">
        <v>5746</v>
      </c>
      <c r="AU13">
        <v>1879</v>
      </c>
      <c r="AV13">
        <v>4117</v>
      </c>
      <c r="AW13">
        <v>4729</v>
      </c>
      <c r="AX13">
        <v>4671</v>
      </c>
      <c r="AY13">
        <v>5364</v>
      </c>
      <c r="AZ13">
        <v>5583</v>
      </c>
      <c r="BA13">
        <v>13641</v>
      </c>
      <c r="BB13">
        <v>190956</v>
      </c>
      <c r="BC13">
        <v>8883</v>
      </c>
      <c r="BD13">
        <v>14643</v>
      </c>
      <c r="BE13">
        <v>1058</v>
      </c>
      <c r="BF13">
        <v>23637</v>
      </c>
      <c r="BG13">
        <v>19183</v>
      </c>
      <c r="BH13">
        <v>21727</v>
      </c>
      <c r="BI13">
        <v>32803</v>
      </c>
      <c r="BJ13">
        <v>59473</v>
      </c>
      <c r="BK13">
        <v>9546</v>
      </c>
      <c r="BL13">
        <v>63028</v>
      </c>
      <c r="BM13">
        <v>2011</v>
      </c>
      <c r="BN13">
        <v>6346</v>
      </c>
      <c r="BO13">
        <v>2225</v>
      </c>
      <c r="BP13">
        <v>13100</v>
      </c>
      <c r="BQ13">
        <v>3120</v>
      </c>
      <c r="BR13">
        <v>10829</v>
      </c>
      <c r="BS13">
        <v>2808</v>
      </c>
      <c r="BT13">
        <v>22590</v>
      </c>
      <c r="BU13">
        <v>25622</v>
      </c>
      <c r="BV13">
        <v>6</v>
      </c>
      <c r="BW13">
        <v>71</v>
      </c>
      <c r="BX13">
        <v>22</v>
      </c>
      <c r="BY13">
        <v>20614</v>
      </c>
      <c r="BZ13">
        <v>4904</v>
      </c>
      <c r="CA13">
        <v>460866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6111C-EA63-9345-8582-A3D7CA3760EB}">
  <dimension ref="A1:CA26"/>
  <sheetViews>
    <sheetView zoomScale="109" workbookViewId="0">
      <selection activeCell="F35" sqref="F35"/>
    </sheetView>
  </sheetViews>
  <sheetFormatPr baseColWidth="10" defaultRowHeight="15" x14ac:dyDescent="0.2"/>
  <cols>
    <col min="1" max="1" width="9.83203125" customWidth="1"/>
    <col min="2" max="2" width="10.33203125" customWidth="1"/>
  </cols>
  <sheetData>
    <row r="1" spans="1:7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2" t="s">
        <v>30</v>
      </c>
      <c r="AF1" s="2" t="s">
        <v>31</v>
      </c>
      <c r="AG1" s="2" t="s">
        <v>32</v>
      </c>
      <c r="AH1" s="1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1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1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1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1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82</v>
      </c>
      <c r="C3" t="s">
        <v>83</v>
      </c>
      <c r="D3" t="s">
        <v>84</v>
      </c>
      <c r="E3" t="s">
        <v>85</v>
      </c>
      <c r="F3" t="s">
        <v>86</v>
      </c>
      <c r="G3" t="s">
        <v>87</v>
      </c>
      <c r="H3" t="s">
        <v>88</v>
      </c>
      <c r="I3" t="s">
        <v>89</v>
      </c>
      <c r="J3" t="s">
        <v>90</v>
      </c>
      <c r="K3" t="s">
        <v>91</v>
      </c>
      <c r="L3" t="s">
        <v>92</v>
      </c>
      <c r="M3" t="s">
        <v>93</v>
      </c>
      <c r="N3" t="s">
        <v>94</v>
      </c>
      <c r="O3" t="s">
        <v>95</v>
      </c>
      <c r="P3" t="s">
        <v>96</v>
      </c>
      <c r="Q3" t="s">
        <v>97</v>
      </c>
      <c r="R3" t="s">
        <v>98</v>
      </c>
      <c r="S3" t="s">
        <v>99</v>
      </c>
      <c r="T3" t="s">
        <v>100</v>
      </c>
      <c r="U3" t="s">
        <v>101</v>
      </c>
      <c r="V3" t="s">
        <v>102</v>
      </c>
      <c r="W3" t="s">
        <v>103</v>
      </c>
      <c r="X3" t="s">
        <v>104</v>
      </c>
      <c r="Y3" t="s">
        <v>105</v>
      </c>
      <c r="Z3" t="s">
        <v>106</v>
      </c>
      <c r="AA3" t="s">
        <v>107</v>
      </c>
      <c r="AB3" t="s">
        <v>108</v>
      </c>
      <c r="AC3" t="s">
        <v>109</v>
      </c>
      <c r="AD3" t="s">
        <v>110</v>
      </c>
      <c r="AE3" t="s">
        <v>111</v>
      </c>
      <c r="AF3" t="s">
        <v>112</v>
      </c>
      <c r="AG3" t="s">
        <v>113</v>
      </c>
      <c r="AH3" t="s">
        <v>114</v>
      </c>
      <c r="AI3" t="s">
        <v>115</v>
      </c>
      <c r="AJ3" t="s">
        <v>116</v>
      </c>
      <c r="AK3" t="s">
        <v>117</v>
      </c>
      <c r="AL3" t="s">
        <v>118</v>
      </c>
      <c r="AM3" t="s">
        <v>119</v>
      </c>
      <c r="AN3" t="s">
        <v>120</v>
      </c>
      <c r="AO3" t="s">
        <v>121</v>
      </c>
      <c r="AP3" t="s">
        <v>122</v>
      </c>
      <c r="AQ3" t="s">
        <v>123</v>
      </c>
      <c r="AR3" t="s">
        <v>124</v>
      </c>
      <c r="AS3" t="s">
        <v>125</v>
      </c>
      <c r="AT3" t="s">
        <v>126</v>
      </c>
      <c r="AU3" t="s">
        <v>127</v>
      </c>
      <c r="AV3" t="s">
        <v>128</v>
      </c>
      <c r="AW3" t="s">
        <v>129</v>
      </c>
      <c r="AX3" t="s">
        <v>130</v>
      </c>
      <c r="AY3" t="s">
        <v>131</v>
      </c>
      <c r="AZ3" t="s">
        <v>132</v>
      </c>
      <c r="BA3" t="s">
        <v>133</v>
      </c>
      <c r="BB3" t="s">
        <v>134</v>
      </c>
      <c r="BC3" t="s">
        <v>135</v>
      </c>
      <c r="BD3" t="s">
        <v>136</v>
      </c>
      <c r="BE3" t="s">
        <v>137</v>
      </c>
      <c r="BF3" t="s">
        <v>138</v>
      </c>
      <c r="BG3" t="s">
        <v>139</v>
      </c>
      <c r="BH3" t="s">
        <v>140</v>
      </c>
      <c r="BI3" t="s">
        <v>141</v>
      </c>
      <c r="BJ3" t="s">
        <v>142</v>
      </c>
      <c r="BK3" t="s">
        <v>143</v>
      </c>
      <c r="BL3" t="s">
        <v>144</v>
      </c>
      <c r="BM3" t="s">
        <v>145</v>
      </c>
      <c r="BN3" t="s">
        <v>146</v>
      </c>
      <c r="BO3" t="s">
        <v>147</v>
      </c>
      <c r="BP3" t="s">
        <v>148</v>
      </c>
      <c r="BQ3" t="s">
        <v>149</v>
      </c>
      <c r="BR3" t="s">
        <v>150</v>
      </c>
      <c r="BS3" t="s">
        <v>151</v>
      </c>
      <c r="BT3" t="s">
        <v>152</v>
      </c>
      <c r="BU3" t="s">
        <v>153</v>
      </c>
      <c r="BV3" t="s">
        <v>154</v>
      </c>
      <c r="BW3" t="s">
        <v>155</v>
      </c>
      <c r="BX3" t="s">
        <v>156</v>
      </c>
      <c r="BY3" t="s">
        <v>157</v>
      </c>
      <c r="BZ3" t="s">
        <v>158</v>
      </c>
      <c r="CA3" t="s">
        <v>159</v>
      </c>
    </row>
    <row r="4" spans="1:79" x14ac:dyDescent="0.2">
      <c r="A4" t="s">
        <v>160</v>
      </c>
      <c r="B4">
        <v>32621</v>
      </c>
      <c r="C4">
        <v>1874</v>
      </c>
      <c r="D4">
        <v>11088</v>
      </c>
      <c r="E4">
        <v>2208</v>
      </c>
      <c r="F4">
        <v>1379</v>
      </c>
      <c r="G4">
        <v>7580</v>
      </c>
      <c r="H4">
        <v>4153</v>
      </c>
      <c r="I4">
        <v>319</v>
      </c>
      <c r="J4">
        <v>363</v>
      </c>
      <c r="K4">
        <v>1174</v>
      </c>
      <c r="L4">
        <v>2478</v>
      </c>
      <c r="M4">
        <v>2679</v>
      </c>
      <c r="N4">
        <v>2610</v>
      </c>
      <c r="O4">
        <v>68</v>
      </c>
      <c r="P4">
        <v>83621</v>
      </c>
      <c r="Q4">
        <v>827</v>
      </c>
      <c r="R4">
        <v>1415</v>
      </c>
      <c r="S4">
        <v>7</v>
      </c>
      <c r="T4">
        <v>1769</v>
      </c>
      <c r="U4">
        <v>242</v>
      </c>
      <c r="V4">
        <v>4722</v>
      </c>
      <c r="W4">
        <v>665</v>
      </c>
      <c r="X4">
        <v>73494</v>
      </c>
      <c r="Y4">
        <v>476</v>
      </c>
      <c r="Z4">
        <v>67702</v>
      </c>
      <c r="AA4">
        <v>42273</v>
      </c>
      <c r="AB4">
        <v>6946</v>
      </c>
      <c r="AC4">
        <v>18480</v>
      </c>
      <c r="AD4">
        <v>675</v>
      </c>
      <c r="AE4">
        <v>422</v>
      </c>
      <c r="AF4">
        <v>217</v>
      </c>
      <c r="AG4">
        <v>37</v>
      </c>
      <c r="AH4">
        <v>8367</v>
      </c>
      <c r="AI4">
        <v>227</v>
      </c>
      <c r="AJ4">
        <v>657</v>
      </c>
      <c r="AK4">
        <v>847</v>
      </c>
      <c r="AL4">
        <v>3486</v>
      </c>
      <c r="AM4">
        <v>985</v>
      </c>
      <c r="AN4">
        <v>369</v>
      </c>
      <c r="AO4">
        <v>315</v>
      </c>
      <c r="AP4">
        <v>418</v>
      </c>
      <c r="AQ4">
        <v>1065</v>
      </c>
      <c r="AR4">
        <v>13406</v>
      </c>
      <c r="AS4">
        <v>184</v>
      </c>
      <c r="AT4">
        <v>246</v>
      </c>
      <c r="AU4">
        <v>111</v>
      </c>
      <c r="AV4">
        <v>984</v>
      </c>
      <c r="AW4">
        <v>268</v>
      </c>
      <c r="AX4">
        <v>1060</v>
      </c>
      <c r="AY4">
        <v>602</v>
      </c>
      <c r="AZ4">
        <v>8842</v>
      </c>
      <c r="BA4">
        <v>1107</v>
      </c>
      <c r="BB4">
        <v>15387</v>
      </c>
      <c r="BC4">
        <v>872</v>
      </c>
      <c r="BD4">
        <v>1872</v>
      </c>
      <c r="BE4">
        <v>161</v>
      </c>
      <c r="BF4">
        <v>2269</v>
      </c>
      <c r="BG4">
        <v>1542</v>
      </c>
      <c r="BH4">
        <v>1752</v>
      </c>
      <c r="BI4">
        <v>1691</v>
      </c>
      <c r="BJ4">
        <v>2940</v>
      </c>
      <c r="BK4">
        <v>2290</v>
      </c>
      <c r="BL4">
        <v>6558</v>
      </c>
      <c r="BM4">
        <v>136</v>
      </c>
      <c r="BN4">
        <v>133</v>
      </c>
      <c r="BO4">
        <v>64</v>
      </c>
      <c r="BP4">
        <v>328</v>
      </c>
      <c r="BQ4">
        <v>92</v>
      </c>
      <c r="BR4">
        <v>2532</v>
      </c>
      <c r="BS4">
        <v>409</v>
      </c>
      <c r="BT4">
        <v>2862</v>
      </c>
      <c r="BU4">
        <v>27452</v>
      </c>
      <c r="BV4">
        <v>1563</v>
      </c>
      <c r="BW4">
        <v>989</v>
      </c>
      <c r="BX4">
        <v>1</v>
      </c>
      <c r="BY4">
        <v>18857</v>
      </c>
      <c r="BZ4">
        <v>6043</v>
      </c>
      <c r="CA4">
        <v>258469</v>
      </c>
    </row>
    <row r="5" spans="1:79" x14ac:dyDescent="0.2">
      <c r="A5" t="s">
        <v>161</v>
      </c>
      <c r="B5">
        <v>36596</v>
      </c>
      <c r="C5">
        <v>1618</v>
      </c>
      <c r="D5">
        <v>11834</v>
      </c>
      <c r="E5">
        <v>2345</v>
      </c>
      <c r="F5">
        <v>1424</v>
      </c>
      <c r="G5">
        <v>9336</v>
      </c>
      <c r="H5">
        <v>5099</v>
      </c>
      <c r="I5">
        <v>330</v>
      </c>
      <c r="J5">
        <v>369</v>
      </c>
      <c r="K5">
        <v>1230</v>
      </c>
      <c r="L5">
        <v>3011</v>
      </c>
      <c r="M5">
        <v>3031</v>
      </c>
      <c r="N5">
        <v>2962</v>
      </c>
      <c r="O5">
        <v>67</v>
      </c>
      <c r="P5">
        <v>99473</v>
      </c>
      <c r="Q5">
        <v>808</v>
      </c>
      <c r="R5">
        <v>1906</v>
      </c>
      <c r="S5">
        <v>0</v>
      </c>
      <c r="T5">
        <v>1975</v>
      </c>
      <c r="U5">
        <v>277</v>
      </c>
      <c r="V5">
        <v>5852</v>
      </c>
      <c r="W5">
        <v>1575</v>
      </c>
      <c r="X5">
        <v>86583</v>
      </c>
      <c r="Y5">
        <v>496</v>
      </c>
      <c r="Z5">
        <v>91149</v>
      </c>
      <c r="AA5">
        <v>57133</v>
      </c>
      <c r="AB5">
        <v>7662</v>
      </c>
      <c r="AC5">
        <v>26355</v>
      </c>
      <c r="AD5">
        <v>680</v>
      </c>
      <c r="AE5">
        <v>390</v>
      </c>
      <c r="AF5">
        <v>241</v>
      </c>
      <c r="AG5">
        <v>49</v>
      </c>
      <c r="AH5">
        <v>8643</v>
      </c>
      <c r="AI5">
        <v>199</v>
      </c>
      <c r="AJ5">
        <v>702</v>
      </c>
      <c r="AK5">
        <v>959</v>
      </c>
      <c r="AL5">
        <v>3478</v>
      </c>
      <c r="AM5">
        <v>1180</v>
      </c>
      <c r="AN5">
        <v>265</v>
      </c>
      <c r="AO5">
        <v>339</v>
      </c>
      <c r="AP5">
        <v>443</v>
      </c>
      <c r="AQ5">
        <v>1072</v>
      </c>
      <c r="AR5">
        <v>14749</v>
      </c>
      <c r="AS5">
        <v>166</v>
      </c>
      <c r="AT5">
        <v>294</v>
      </c>
      <c r="AU5">
        <v>115</v>
      </c>
      <c r="AV5">
        <v>1013</v>
      </c>
      <c r="AW5">
        <v>274</v>
      </c>
      <c r="AX5">
        <v>902</v>
      </c>
      <c r="AY5">
        <v>917</v>
      </c>
      <c r="AZ5">
        <v>9957</v>
      </c>
      <c r="BA5">
        <v>1114</v>
      </c>
      <c r="BB5">
        <v>14638</v>
      </c>
      <c r="BC5">
        <v>742</v>
      </c>
      <c r="BD5">
        <v>1886</v>
      </c>
      <c r="BE5">
        <v>188</v>
      </c>
      <c r="BF5">
        <v>2191</v>
      </c>
      <c r="BG5">
        <v>1226</v>
      </c>
      <c r="BH5">
        <v>2012</v>
      </c>
      <c r="BI5">
        <v>1847</v>
      </c>
      <c r="BJ5">
        <v>2264</v>
      </c>
      <c r="BK5">
        <v>2283</v>
      </c>
      <c r="BL5">
        <v>6857</v>
      </c>
      <c r="BM5">
        <v>144</v>
      </c>
      <c r="BN5">
        <v>141</v>
      </c>
      <c r="BO5">
        <v>70</v>
      </c>
      <c r="BP5">
        <v>328</v>
      </c>
      <c r="BQ5">
        <v>115</v>
      </c>
      <c r="BR5">
        <v>2619</v>
      </c>
      <c r="BS5">
        <v>427</v>
      </c>
      <c r="BT5">
        <v>3017</v>
      </c>
      <c r="BU5">
        <v>25523</v>
      </c>
      <c r="BV5">
        <v>1474</v>
      </c>
      <c r="BW5">
        <v>677</v>
      </c>
      <c r="BX5">
        <v>1</v>
      </c>
      <c r="BY5">
        <v>17620</v>
      </c>
      <c r="BZ5">
        <v>5749</v>
      </c>
      <c r="CA5">
        <v>301334</v>
      </c>
    </row>
    <row r="6" spans="1:79" x14ac:dyDescent="0.2">
      <c r="A6" t="s">
        <v>162</v>
      </c>
      <c r="B6">
        <v>35271</v>
      </c>
      <c r="C6">
        <v>1825</v>
      </c>
      <c r="D6">
        <v>13605</v>
      </c>
      <c r="E6">
        <v>2481</v>
      </c>
      <c r="F6">
        <v>1469</v>
      </c>
      <c r="G6">
        <v>7326</v>
      </c>
      <c r="H6">
        <v>3567</v>
      </c>
      <c r="I6">
        <v>300</v>
      </c>
      <c r="J6">
        <v>393</v>
      </c>
      <c r="K6">
        <v>1359</v>
      </c>
      <c r="L6">
        <v>2946</v>
      </c>
      <c r="M6">
        <v>3377</v>
      </c>
      <c r="N6">
        <v>3318</v>
      </c>
      <c r="O6">
        <v>59</v>
      </c>
      <c r="P6">
        <v>106879</v>
      </c>
      <c r="Q6">
        <v>731</v>
      </c>
      <c r="R6">
        <v>1398</v>
      </c>
      <c r="S6">
        <v>15</v>
      </c>
      <c r="T6">
        <v>2218</v>
      </c>
      <c r="U6">
        <v>238</v>
      </c>
      <c r="V6">
        <v>6474</v>
      </c>
      <c r="W6">
        <v>2110</v>
      </c>
      <c r="X6">
        <v>93112</v>
      </c>
      <c r="Y6">
        <v>584</v>
      </c>
      <c r="Z6">
        <v>122269</v>
      </c>
      <c r="AA6">
        <v>66848</v>
      </c>
      <c r="AB6">
        <v>11191</v>
      </c>
      <c r="AC6">
        <v>44229</v>
      </c>
      <c r="AD6">
        <v>663</v>
      </c>
      <c r="AE6">
        <v>368</v>
      </c>
      <c r="AF6">
        <v>240</v>
      </c>
      <c r="AG6">
        <v>55</v>
      </c>
      <c r="AH6">
        <v>10510</v>
      </c>
      <c r="AI6">
        <v>201</v>
      </c>
      <c r="AJ6">
        <v>937</v>
      </c>
      <c r="AK6">
        <v>1029</v>
      </c>
      <c r="AL6">
        <v>4750</v>
      </c>
      <c r="AM6">
        <v>1346</v>
      </c>
      <c r="AN6">
        <v>320</v>
      </c>
      <c r="AO6">
        <v>298</v>
      </c>
      <c r="AP6">
        <v>443</v>
      </c>
      <c r="AQ6">
        <v>1185</v>
      </c>
      <c r="AR6">
        <v>17031</v>
      </c>
      <c r="AS6">
        <v>166</v>
      </c>
      <c r="AT6">
        <v>307</v>
      </c>
      <c r="AU6">
        <v>97</v>
      </c>
      <c r="AV6">
        <v>1145</v>
      </c>
      <c r="AW6">
        <v>273</v>
      </c>
      <c r="AX6">
        <v>927</v>
      </c>
      <c r="AY6">
        <v>1029</v>
      </c>
      <c r="AZ6">
        <v>11823</v>
      </c>
      <c r="BA6">
        <v>1265</v>
      </c>
      <c r="BB6">
        <v>15352</v>
      </c>
      <c r="BC6">
        <v>939</v>
      </c>
      <c r="BD6">
        <v>1833</v>
      </c>
      <c r="BE6">
        <v>275</v>
      </c>
      <c r="BF6">
        <v>2296</v>
      </c>
      <c r="BG6">
        <v>1284</v>
      </c>
      <c r="BH6">
        <v>2008</v>
      </c>
      <c r="BI6">
        <v>2078</v>
      </c>
      <c r="BJ6">
        <v>1693</v>
      </c>
      <c r="BK6">
        <v>2945</v>
      </c>
      <c r="BL6">
        <v>7288</v>
      </c>
      <c r="BM6">
        <v>162</v>
      </c>
      <c r="BN6">
        <v>152</v>
      </c>
      <c r="BO6">
        <v>80</v>
      </c>
      <c r="BP6">
        <v>336</v>
      </c>
      <c r="BQ6">
        <v>124</v>
      </c>
      <c r="BR6">
        <v>2765</v>
      </c>
      <c r="BS6">
        <v>440</v>
      </c>
      <c r="BT6">
        <v>3231</v>
      </c>
      <c r="BU6">
        <v>25975</v>
      </c>
      <c r="BV6">
        <v>1371</v>
      </c>
      <c r="BW6">
        <v>814</v>
      </c>
      <c r="BX6">
        <v>0</v>
      </c>
      <c r="BY6">
        <v>19136</v>
      </c>
      <c r="BZ6">
        <v>4651</v>
      </c>
      <c r="CA6">
        <v>344615</v>
      </c>
    </row>
    <row r="7" spans="1:79" x14ac:dyDescent="0.2">
      <c r="A7" t="s">
        <v>163</v>
      </c>
      <c r="B7">
        <v>37649</v>
      </c>
      <c r="C7">
        <v>2126</v>
      </c>
      <c r="D7">
        <v>16462</v>
      </c>
      <c r="E7">
        <v>2488</v>
      </c>
      <c r="F7">
        <v>1529</v>
      </c>
      <c r="G7">
        <v>5891</v>
      </c>
      <c r="H7">
        <v>4112</v>
      </c>
      <c r="I7">
        <v>268</v>
      </c>
      <c r="J7">
        <v>425</v>
      </c>
      <c r="K7">
        <v>1374</v>
      </c>
      <c r="L7">
        <v>2977</v>
      </c>
      <c r="M7">
        <v>3582</v>
      </c>
      <c r="N7">
        <v>3523</v>
      </c>
      <c r="O7">
        <v>59</v>
      </c>
      <c r="P7">
        <v>136415</v>
      </c>
      <c r="Q7">
        <v>579</v>
      </c>
      <c r="R7">
        <v>1051</v>
      </c>
      <c r="S7">
        <v>20</v>
      </c>
      <c r="T7">
        <v>2225</v>
      </c>
      <c r="U7">
        <v>183</v>
      </c>
      <c r="V7">
        <v>4844</v>
      </c>
      <c r="W7">
        <v>1717</v>
      </c>
      <c r="X7">
        <v>125211</v>
      </c>
      <c r="Y7">
        <v>584</v>
      </c>
      <c r="Z7">
        <v>126288</v>
      </c>
      <c r="AA7">
        <v>63941</v>
      </c>
      <c r="AB7">
        <v>12224</v>
      </c>
      <c r="AC7">
        <v>50124</v>
      </c>
      <c r="AD7">
        <v>647</v>
      </c>
      <c r="AE7">
        <v>359</v>
      </c>
      <c r="AF7">
        <v>243</v>
      </c>
      <c r="AG7">
        <v>47</v>
      </c>
      <c r="AH7">
        <v>11971</v>
      </c>
      <c r="AI7">
        <v>212</v>
      </c>
      <c r="AJ7">
        <v>754</v>
      </c>
      <c r="AK7">
        <v>1008</v>
      </c>
      <c r="AL7">
        <v>6249</v>
      </c>
      <c r="AM7">
        <v>1532</v>
      </c>
      <c r="AN7">
        <v>262</v>
      </c>
      <c r="AO7">
        <v>328</v>
      </c>
      <c r="AP7">
        <v>397</v>
      </c>
      <c r="AQ7">
        <v>1225</v>
      </c>
      <c r="AR7">
        <v>17567</v>
      </c>
      <c r="AS7">
        <v>141</v>
      </c>
      <c r="AT7">
        <v>325</v>
      </c>
      <c r="AU7">
        <v>108</v>
      </c>
      <c r="AV7">
        <v>1094</v>
      </c>
      <c r="AW7">
        <v>305</v>
      </c>
      <c r="AX7">
        <v>1005</v>
      </c>
      <c r="AY7">
        <v>1217</v>
      </c>
      <c r="AZ7">
        <v>11999</v>
      </c>
      <c r="BA7">
        <v>1372</v>
      </c>
      <c r="BB7">
        <v>16992</v>
      </c>
      <c r="BC7">
        <v>1064</v>
      </c>
      <c r="BD7">
        <v>1961</v>
      </c>
      <c r="BE7">
        <v>192</v>
      </c>
      <c r="BF7">
        <v>2456</v>
      </c>
      <c r="BG7">
        <v>1410</v>
      </c>
      <c r="BH7">
        <v>2657</v>
      </c>
      <c r="BI7">
        <v>2131</v>
      </c>
      <c r="BJ7">
        <v>1919</v>
      </c>
      <c r="BK7">
        <v>3208</v>
      </c>
      <c r="BL7">
        <v>8208</v>
      </c>
      <c r="BM7">
        <v>157</v>
      </c>
      <c r="BN7">
        <v>182</v>
      </c>
      <c r="BO7">
        <v>94</v>
      </c>
      <c r="BP7">
        <v>377</v>
      </c>
      <c r="BQ7">
        <v>122</v>
      </c>
      <c r="BR7">
        <v>3906</v>
      </c>
      <c r="BS7">
        <v>466</v>
      </c>
      <c r="BT7">
        <v>2901</v>
      </c>
      <c r="BU7">
        <v>30661</v>
      </c>
      <c r="BV7">
        <v>1239</v>
      </c>
      <c r="BW7">
        <v>861</v>
      </c>
      <c r="BX7">
        <v>0</v>
      </c>
      <c r="BY7">
        <v>23372</v>
      </c>
      <c r="BZ7">
        <v>5188</v>
      </c>
      <c r="CA7">
        <v>389981</v>
      </c>
    </row>
    <row r="8" spans="1:79" x14ac:dyDescent="0.2">
      <c r="A8" t="s">
        <v>164</v>
      </c>
      <c r="B8">
        <v>35628</v>
      </c>
      <c r="C8">
        <v>1949</v>
      </c>
      <c r="D8">
        <v>14705</v>
      </c>
      <c r="E8">
        <v>2544</v>
      </c>
      <c r="F8">
        <v>1229</v>
      </c>
      <c r="G8">
        <v>6440</v>
      </c>
      <c r="H8">
        <v>4127</v>
      </c>
      <c r="I8">
        <v>283</v>
      </c>
      <c r="J8">
        <v>447</v>
      </c>
      <c r="K8">
        <v>1310</v>
      </c>
      <c r="L8">
        <v>2591</v>
      </c>
      <c r="M8">
        <v>3283</v>
      </c>
      <c r="N8">
        <v>3246</v>
      </c>
      <c r="O8">
        <v>37</v>
      </c>
      <c r="P8">
        <v>151968</v>
      </c>
      <c r="Q8">
        <v>414</v>
      </c>
      <c r="R8">
        <v>1183</v>
      </c>
      <c r="S8">
        <v>10</v>
      </c>
      <c r="T8">
        <v>1669</v>
      </c>
      <c r="U8">
        <v>172</v>
      </c>
      <c r="V8">
        <v>2739</v>
      </c>
      <c r="W8">
        <v>1163</v>
      </c>
      <c r="X8">
        <v>144068</v>
      </c>
      <c r="Y8">
        <v>551</v>
      </c>
      <c r="Z8">
        <v>88821</v>
      </c>
      <c r="AA8">
        <v>43367</v>
      </c>
      <c r="AB8">
        <v>7755</v>
      </c>
      <c r="AC8">
        <v>37699</v>
      </c>
      <c r="AD8">
        <v>761</v>
      </c>
      <c r="AE8">
        <v>444</v>
      </c>
      <c r="AF8">
        <v>282</v>
      </c>
      <c r="AG8">
        <v>33</v>
      </c>
      <c r="AH8">
        <v>11092</v>
      </c>
      <c r="AI8">
        <v>227</v>
      </c>
      <c r="AJ8">
        <v>641</v>
      </c>
      <c r="AK8">
        <v>894</v>
      </c>
      <c r="AL8">
        <v>5547</v>
      </c>
      <c r="AM8">
        <v>1590</v>
      </c>
      <c r="AN8">
        <v>330</v>
      </c>
      <c r="AO8">
        <v>232</v>
      </c>
      <c r="AP8">
        <v>311</v>
      </c>
      <c r="AQ8">
        <v>1325</v>
      </c>
      <c r="AR8">
        <v>14708</v>
      </c>
      <c r="AS8">
        <v>112</v>
      </c>
      <c r="AT8">
        <v>260</v>
      </c>
      <c r="AU8">
        <v>103</v>
      </c>
      <c r="AV8">
        <v>934</v>
      </c>
      <c r="AW8">
        <v>276</v>
      </c>
      <c r="AX8">
        <v>736</v>
      </c>
      <c r="AY8">
        <v>920</v>
      </c>
      <c r="AZ8">
        <v>10215</v>
      </c>
      <c r="BA8">
        <v>1154</v>
      </c>
      <c r="BB8">
        <v>14678</v>
      </c>
      <c r="BC8">
        <v>1068</v>
      </c>
      <c r="BD8">
        <v>1769</v>
      </c>
      <c r="BE8">
        <v>138</v>
      </c>
      <c r="BF8">
        <v>2164</v>
      </c>
      <c r="BG8">
        <v>1300</v>
      </c>
      <c r="BH8">
        <v>2251</v>
      </c>
      <c r="BI8">
        <v>2006</v>
      </c>
      <c r="BJ8">
        <v>1598</v>
      </c>
      <c r="BK8">
        <v>2387</v>
      </c>
      <c r="BL8">
        <v>7376</v>
      </c>
      <c r="BM8">
        <v>161</v>
      </c>
      <c r="BN8">
        <v>136</v>
      </c>
      <c r="BO8">
        <v>112</v>
      </c>
      <c r="BP8">
        <v>387</v>
      </c>
      <c r="BQ8">
        <v>129</v>
      </c>
      <c r="BR8">
        <v>3526</v>
      </c>
      <c r="BS8">
        <v>432</v>
      </c>
      <c r="BT8">
        <v>2494</v>
      </c>
      <c r="BU8">
        <v>34408</v>
      </c>
      <c r="BV8">
        <v>1063</v>
      </c>
      <c r="BW8">
        <v>1303</v>
      </c>
      <c r="BX8">
        <v>2</v>
      </c>
      <c r="BY8">
        <v>25492</v>
      </c>
      <c r="BZ8">
        <v>6551</v>
      </c>
      <c r="CA8">
        <v>362728</v>
      </c>
    </row>
    <row r="9" spans="1:79" x14ac:dyDescent="0.2">
      <c r="A9" t="s">
        <v>165</v>
      </c>
      <c r="B9">
        <v>43540</v>
      </c>
      <c r="C9">
        <v>1646</v>
      </c>
      <c r="D9">
        <v>14801</v>
      </c>
      <c r="E9">
        <v>2947</v>
      </c>
      <c r="F9">
        <v>1207</v>
      </c>
      <c r="G9">
        <v>14105</v>
      </c>
      <c r="H9">
        <v>4512</v>
      </c>
      <c r="I9">
        <v>318</v>
      </c>
      <c r="J9">
        <v>476</v>
      </c>
      <c r="K9">
        <v>1424</v>
      </c>
      <c r="L9">
        <v>2105</v>
      </c>
      <c r="M9">
        <v>2523</v>
      </c>
      <c r="N9">
        <v>2503</v>
      </c>
      <c r="O9">
        <v>21</v>
      </c>
      <c r="P9">
        <v>198179</v>
      </c>
      <c r="Q9">
        <v>504</v>
      </c>
      <c r="R9">
        <v>3166</v>
      </c>
      <c r="S9">
        <v>11</v>
      </c>
      <c r="T9">
        <v>1338</v>
      </c>
      <c r="U9">
        <v>266</v>
      </c>
      <c r="V9">
        <v>5081</v>
      </c>
      <c r="W9">
        <v>1948</v>
      </c>
      <c r="X9">
        <v>185259</v>
      </c>
      <c r="Y9">
        <v>613</v>
      </c>
      <c r="Z9">
        <v>126395</v>
      </c>
      <c r="AA9">
        <v>63504</v>
      </c>
      <c r="AB9">
        <v>11715</v>
      </c>
      <c r="AC9">
        <v>51179</v>
      </c>
      <c r="AD9">
        <v>1085</v>
      </c>
      <c r="AE9">
        <v>669</v>
      </c>
      <c r="AF9">
        <v>360</v>
      </c>
      <c r="AG9">
        <v>54</v>
      </c>
      <c r="AH9">
        <v>10052</v>
      </c>
      <c r="AI9">
        <v>239</v>
      </c>
      <c r="AJ9">
        <v>808</v>
      </c>
      <c r="AK9">
        <v>1036</v>
      </c>
      <c r="AL9">
        <v>3630</v>
      </c>
      <c r="AM9">
        <v>1663</v>
      </c>
      <c r="AN9">
        <v>490</v>
      </c>
      <c r="AO9">
        <v>368</v>
      </c>
      <c r="AP9">
        <v>345</v>
      </c>
      <c r="AQ9">
        <v>1474</v>
      </c>
      <c r="AR9">
        <v>16703</v>
      </c>
      <c r="AS9">
        <v>160</v>
      </c>
      <c r="AT9">
        <v>257</v>
      </c>
      <c r="AU9">
        <v>96</v>
      </c>
      <c r="AV9">
        <v>948</v>
      </c>
      <c r="AW9">
        <v>333</v>
      </c>
      <c r="AX9">
        <v>570</v>
      </c>
      <c r="AY9">
        <v>793</v>
      </c>
      <c r="AZ9">
        <v>12328</v>
      </c>
      <c r="BA9">
        <v>1220</v>
      </c>
      <c r="BB9">
        <v>14728</v>
      </c>
      <c r="BC9">
        <v>872</v>
      </c>
      <c r="BD9">
        <v>1678</v>
      </c>
      <c r="BE9">
        <v>175</v>
      </c>
      <c r="BF9">
        <v>2230</v>
      </c>
      <c r="BG9">
        <v>1376</v>
      </c>
      <c r="BH9">
        <v>2331</v>
      </c>
      <c r="BI9">
        <v>2227</v>
      </c>
      <c r="BJ9">
        <v>1853</v>
      </c>
      <c r="BK9">
        <v>1988</v>
      </c>
      <c r="BL9">
        <v>8036</v>
      </c>
      <c r="BM9">
        <v>203</v>
      </c>
      <c r="BN9">
        <v>145</v>
      </c>
      <c r="BO9">
        <v>116</v>
      </c>
      <c r="BP9">
        <v>480</v>
      </c>
      <c r="BQ9">
        <v>119</v>
      </c>
      <c r="BR9">
        <v>3875</v>
      </c>
      <c r="BS9">
        <v>453</v>
      </c>
      <c r="BT9">
        <v>2646</v>
      </c>
      <c r="BU9">
        <v>36933</v>
      </c>
      <c r="BV9">
        <v>1789</v>
      </c>
      <c r="BW9">
        <v>2576</v>
      </c>
      <c r="BX9">
        <v>2</v>
      </c>
      <c r="BY9">
        <v>23281</v>
      </c>
      <c r="BZ9">
        <v>9283</v>
      </c>
      <c r="CA9">
        <v>458168</v>
      </c>
    </row>
    <row r="10" spans="1:79" x14ac:dyDescent="0.2">
      <c r="A10" t="s">
        <v>166</v>
      </c>
      <c r="B10">
        <v>53122</v>
      </c>
      <c r="C10">
        <v>1518</v>
      </c>
      <c r="D10">
        <v>16600</v>
      </c>
      <c r="E10">
        <v>3385</v>
      </c>
      <c r="F10">
        <v>1205</v>
      </c>
      <c r="G10">
        <v>20672</v>
      </c>
      <c r="H10">
        <v>5027</v>
      </c>
      <c r="I10">
        <v>321</v>
      </c>
      <c r="J10">
        <v>517</v>
      </c>
      <c r="K10">
        <v>1719</v>
      </c>
      <c r="L10">
        <v>2160</v>
      </c>
      <c r="M10">
        <v>2572</v>
      </c>
      <c r="N10">
        <v>2553</v>
      </c>
      <c r="O10">
        <v>19</v>
      </c>
      <c r="P10">
        <v>188296</v>
      </c>
      <c r="Q10">
        <v>454</v>
      </c>
      <c r="R10">
        <v>7762</v>
      </c>
      <c r="S10">
        <v>9</v>
      </c>
      <c r="T10">
        <v>1523</v>
      </c>
      <c r="U10">
        <v>307</v>
      </c>
      <c r="V10">
        <v>7710</v>
      </c>
      <c r="W10">
        <v>12384</v>
      </c>
      <c r="X10">
        <v>157451</v>
      </c>
      <c r="Y10">
        <v>692</v>
      </c>
      <c r="Z10">
        <v>251334</v>
      </c>
      <c r="AA10">
        <v>142345</v>
      </c>
      <c r="AB10">
        <v>17341</v>
      </c>
      <c r="AC10">
        <v>91648</v>
      </c>
      <c r="AD10">
        <v>1682</v>
      </c>
      <c r="AE10">
        <v>1080</v>
      </c>
      <c r="AF10">
        <v>538</v>
      </c>
      <c r="AG10">
        <v>64</v>
      </c>
      <c r="AH10">
        <v>12575</v>
      </c>
      <c r="AI10">
        <v>245</v>
      </c>
      <c r="AJ10">
        <v>1675</v>
      </c>
      <c r="AK10">
        <v>1068</v>
      </c>
      <c r="AL10">
        <v>4328</v>
      </c>
      <c r="AM10">
        <v>1768</v>
      </c>
      <c r="AN10">
        <v>731</v>
      </c>
      <c r="AO10">
        <v>303</v>
      </c>
      <c r="AP10">
        <v>451</v>
      </c>
      <c r="AQ10">
        <v>2007</v>
      </c>
      <c r="AR10">
        <v>19431</v>
      </c>
      <c r="AS10">
        <v>148</v>
      </c>
      <c r="AT10">
        <v>363</v>
      </c>
      <c r="AU10">
        <v>96</v>
      </c>
      <c r="AV10">
        <v>1014</v>
      </c>
      <c r="AW10">
        <v>356</v>
      </c>
      <c r="AX10">
        <v>604</v>
      </c>
      <c r="AY10">
        <v>1340</v>
      </c>
      <c r="AZ10">
        <v>14078</v>
      </c>
      <c r="BA10">
        <v>1430</v>
      </c>
      <c r="BB10">
        <v>16516</v>
      </c>
      <c r="BC10">
        <v>1027</v>
      </c>
      <c r="BD10">
        <v>1911</v>
      </c>
      <c r="BE10">
        <v>260</v>
      </c>
      <c r="BF10">
        <v>2489</v>
      </c>
      <c r="BG10">
        <v>1545</v>
      </c>
      <c r="BH10">
        <v>2337</v>
      </c>
      <c r="BI10">
        <v>2692</v>
      </c>
      <c r="BJ10">
        <v>2013</v>
      </c>
      <c r="BK10">
        <v>2245</v>
      </c>
      <c r="BL10">
        <v>9077</v>
      </c>
      <c r="BM10">
        <v>175</v>
      </c>
      <c r="BN10">
        <v>166</v>
      </c>
      <c r="BO10">
        <v>201</v>
      </c>
      <c r="BP10">
        <v>649</v>
      </c>
      <c r="BQ10">
        <v>141</v>
      </c>
      <c r="BR10">
        <v>4409</v>
      </c>
      <c r="BS10">
        <v>506</v>
      </c>
      <c r="BT10">
        <v>2834</v>
      </c>
      <c r="BU10">
        <v>39255</v>
      </c>
      <c r="BV10">
        <v>764</v>
      </c>
      <c r="BW10">
        <v>3046</v>
      </c>
      <c r="BX10">
        <v>9</v>
      </c>
      <c r="BY10">
        <v>23514</v>
      </c>
      <c r="BZ10">
        <v>11921</v>
      </c>
      <c r="CA10">
        <v>593865</v>
      </c>
    </row>
    <row r="11" spans="1:79" x14ac:dyDescent="0.2">
      <c r="A11" t="s">
        <v>167</v>
      </c>
      <c r="B11">
        <v>54749</v>
      </c>
      <c r="C11">
        <v>1236</v>
      </c>
      <c r="D11">
        <v>17798</v>
      </c>
      <c r="E11">
        <v>3000</v>
      </c>
      <c r="F11">
        <v>1346</v>
      </c>
      <c r="G11">
        <v>20628</v>
      </c>
      <c r="H11">
        <v>5891</v>
      </c>
      <c r="I11">
        <v>297</v>
      </c>
      <c r="J11">
        <v>509</v>
      </c>
      <c r="K11">
        <v>1737</v>
      </c>
      <c r="L11">
        <v>2314</v>
      </c>
      <c r="M11">
        <v>2548</v>
      </c>
      <c r="N11">
        <v>2524</v>
      </c>
      <c r="O11">
        <v>24</v>
      </c>
      <c r="P11">
        <v>202961</v>
      </c>
      <c r="Q11">
        <v>451</v>
      </c>
      <c r="R11">
        <v>5508</v>
      </c>
      <c r="S11">
        <v>14</v>
      </c>
      <c r="T11">
        <v>1435</v>
      </c>
      <c r="U11">
        <v>203</v>
      </c>
      <c r="V11">
        <v>7407</v>
      </c>
      <c r="W11">
        <v>19055</v>
      </c>
      <c r="X11">
        <v>168243</v>
      </c>
      <c r="Y11">
        <v>650</v>
      </c>
      <c r="Z11">
        <v>195549</v>
      </c>
      <c r="AA11">
        <v>103331</v>
      </c>
      <c r="AB11">
        <v>15760</v>
      </c>
      <c r="AC11">
        <v>76456</v>
      </c>
      <c r="AD11">
        <v>1609</v>
      </c>
      <c r="AE11">
        <v>1053</v>
      </c>
      <c r="AF11">
        <v>420</v>
      </c>
      <c r="AG11">
        <v>136</v>
      </c>
      <c r="AH11">
        <v>11484</v>
      </c>
      <c r="AI11">
        <v>221</v>
      </c>
      <c r="AJ11">
        <v>1264</v>
      </c>
      <c r="AK11">
        <v>920</v>
      </c>
      <c r="AL11">
        <v>4754</v>
      </c>
      <c r="AM11">
        <v>1686</v>
      </c>
      <c r="AN11">
        <v>338</v>
      </c>
      <c r="AO11">
        <v>277</v>
      </c>
      <c r="AP11">
        <v>385</v>
      </c>
      <c r="AQ11">
        <v>1643</v>
      </c>
      <c r="AR11">
        <v>19357</v>
      </c>
      <c r="AS11">
        <v>109</v>
      </c>
      <c r="AT11">
        <v>397</v>
      </c>
      <c r="AU11">
        <v>98</v>
      </c>
      <c r="AV11">
        <v>888</v>
      </c>
      <c r="AW11">
        <v>364</v>
      </c>
      <c r="AX11">
        <v>854</v>
      </c>
      <c r="AY11">
        <v>1256</v>
      </c>
      <c r="AZ11">
        <v>13950</v>
      </c>
      <c r="BA11">
        <v>1442</v>
      </c>
      <c r="BB11">
        <v>18604</v>
      </c>
      <c r="BC11">
        <v>1303</v>
      </c>
      <c r="BD11">
        <v>2113</v>
      </c>
      <c r="BE11">
        <v>272</v>
      </c>
      <c r="BF11">
        <v>3044</v>
      </c>
      <c r="BG11">
        <v>1489</v>
      </c>
      <c r="BH11">
        <v>2677</v>
      </c>
      <c r="BI11">
        <v>2954</v>
      </c>
      <c r="BJ11">
        <v>2180</v>
      </c>
      <c r="BK11">
        <v>2574</v>
      </c>
      <c r="BL11">
        <v>10517</v>
      </c>
      <c r="BM11">
        <v>170</v>
      </c>
      <c r="BN11">
        <v>188</v>
      </c>
      <c r="BO11">
        <v>188</v>
      </c>
      <c r="BP11">
        <v>706</v>
      </c>
      <c r="BQ11">
        <v>181</v>
      </c>
      <c r="BR11">
        <v>4871</v>
      </c>
      <c r="BS11">
        <v>576</v>
      </c>
      <c r="BT11">
        <v>3636</v>
      </c>
      <c r="BU11">
        <v>41247</v>
      </c>
      <c r="BV11">
        <v>612</v>
      </c>
      <c r="BW11">
        <v>2011</v>
      </c>
      <c r="BX11">
        <v>11</v>
      </c>
      <c r="BY11">
        <v>28352</v>
      </c>
      <c r="BZ11">
        <v>10257</v>
      </c>
      <c r="CA11">
        <v>558623</v>
      </c>
    </row>
    <row r="12" spans="1:79" x14ac:dyDescent="0.2">
      <c r="A12" t="s">
        <v>247</v>
      </c>
      <c r="B12">
        <v>52562</v>
      </c>
      <c r="C12">
        <v>1117</v>
      </c>
      <c r="D12">
        <v>21317</v>
      </c>
      <c r="E12">
        <v>3425</v>
      </c>
      <c r="F12">
        <v>1219</v>
      </c>
      <c r="G12">
        <v>13747</v>
      </c>
      <c r="H12">
        <v>7067</v>
      </c>
      <c r="I12">
        <v>298</v>
      </c>
      <c r="J12">
        <v>549</v>
      </c>
      <c r="K12">
        <v>1573</v>
      </c>
      <c r="L12">
        <v>2253</v>
      </c>
      <c r="M12">
        <v>3179</v>
      </c>
      <c r="N12">
        <v>3159</v>
      </c>
      <c r="O12">
        <v>20</v>
      </c>
      <c r="P12">
        <v>179588</v>
      </c>
      <c r="Q12">
        <v>532</v>
      </c>
      <c r="R12">
        <v>5005</v>
      </c>
      <c r="S12">
        <v>20</v>
      </c>
      <c r="T12">
        <v>1424</v>
      </c>
      <c r="U12">
        <v>242</v>
      </c>
      <c r="V12">
        <v>6498</v>
      </c>
      <c r="W12">
        <v>5137</v>
      </c>
      <c r="X12">
        <v>160100</v>
      </c>
      <c r="Y12">
        <v>635</v>
      </c>
      <c r="Z12">
        <v>170842</v>
      </c>
      <c r="AA12">
        <v>85445</v>
      </c>
      <c r="AB12">
        <v>15713</v>
      </c>
      <c r="AC12">
        <v>69682</v>
      </c>
      <c r="AD12">
        <v>1397</v>
      </c>
      <c r="AE12">
        <v>865</v>
      </c>
      <c r="AF12">
        <v>416</v>
      </c>
      <c r="AG12">
        <v>118</v>
      </c>
      <c r="AH12">
        <v>12272</v>
      </c>
      <c r="AI12">
        <v>215</v>
      </c>
      <c r="AJ12">
        <v>946</v>
      </c>
      <c r="AK12">
        <v>1162</v>
      </c>
      <c r="AL12">
        <v>5387</v>
      </c>
      <c r="AM12">
        <v>1705</v>
      </c>
      <c r="AN12">
        <v>437</v>
      </c>
      <c r="AO12">
        <v>294</v>
      </c>
      <c r="AP12">
        <v>412</v>
      </c>
      <c r="AQ12">
        <v>1718</v>
      </c>
      <c r="AR12">
        <v>20515</v>
      </c>
      <c r="AS12">
        <v>112</v>
      </c>
      <c r="AT12">
        <v>331</v>
      </c>
      <c r="AU12">
        <v>97</v>
      </c>
      <c r="AV12">
        <v>891</v>
      </c>
      <c r="AW12">
        <v>392</v>
      </c>
      <c r="AX12">
        <v>590</v>
      </c>
      <c r="AY12">
        <v>1332</v>
      </c>
      <c r="AZ12">
        <v>15294</v>
      </c>
      <c r="BA12">
        <v>1476</v>
      </c>
      <c r="BB12">
        <v>20484</v>
      </c>
      <c r="BC12">
        <v>1377</v>
      </c>
      <c r="BD12">
        <v>2346</v>
      </c>
      <c r="BE12">
        <v>286</v>
      </c>
      <c r="BF12">
        <v>3125</v>
      </c>
      <c r="BG12">
        <v>1580</v>
      </c>
      <c r="BH12">
        <v>2923</v>
      </c>
      <c r="BI12">
        <v>3219</v>
      </c>
      <c r="BJ12">
        <v>2259</v>
      </c>
      <c r="BK12">
        <v>3377</v>
      </c>
      <c r="BL12">
        <v>10974</v>
      </c>
      <c r="BM12">
        <v>191</v>
      </c>
      <c r="BN12">
        <v>169</v>
      </c>
      <c r="BO12">
        <v>178</v>
      </c>
      <c r="BP12">
        <v>773</v>
      </c>
      <c r="BQ12">
        <v>191</v>
      </c>
      <c r="BR12">
        <v>4081</v>
      </c>
      <c r="BS12">
        <v>611</v>
      </c>
      <c r="BT12">
        <v>4777</v>
      </c>
      <c r="BU12">
        <v>45169</v>
      </c>
      <c r="BV12">
        <v>565</v>
      </c>
      <c r="BW12">
        <v>1340</v>
      </c>
      <c r="BX12">
        <v>23</v>
      </c>
      <c r="BY12">
        <v>35703</v>
      </c>
      <c r="BZ12">
        <v>7536</v>
      </c>
      <c r="CA12">
        <v>516983</v>
      </c>
    </row>
    <row r="13" spans="1:79" x14ac:dyDescent="0.2">
      <c r="A13" t="s">
        <v>248</v>
      </c>
      <c r="B13">
        <v>62043</v>
      </c>
      <c r="C13">
        <v>1299</v>
      </c>
      <c r="D13">
        <v>27217</v>
      </c>
      <c r="E13">
        <v>3562</v>
      </c>
      <c r="F13">
        <v>1588</v>
      </c>
      <c r="G13">
        <v>16169</v>
      </c>
      <c r="H13">
        <v>7282</v>
      </c>
      <c r="I13">
        <v>263</v>
      </c>
      <c r="J13">
        <v>632</v>
      </c>
      <c r="K13">
        <v>1582</v>
      </c>
      <c r="L13">
        <v>2448</v>
      </c>
      <c r="M13">
        <v>3066</v>
      </c>
      <c r="N13">
        <v>3009</v>
      </c>
      <c r="O13">
        <v>58</v>
      </c>
      <c r="P13">
        <v>180651</v>
      </c>
      <c r="Q13">
        <v>546</v>
      </c>
      <c r="R13">
        <v>4616</v>
      </c>
      <c r="S13">
        <v>30</v>
      </c>
      <c r="T13">
        <v>1521</v>
      </c>
      <c r="U13">
        <v>274</v>
      </c>
      <c r="V13">
        <v>6053</v>
      </c>
      <c r="W13">
        <v>4863</v>
      </c>
      <c r="X13">
        <v>162034</v>
      </c>
      <c r="Y13">
        <v>711</v>
      </c>
      <c r="Z13">
        <v>140181</v>
      </c>
      <c r="AA13">
        <v>64478</v>
      </c>
      <c r="AB13">
        <v>14187</v>
      </c>
      <c r="AC13">
        <v>61513</v>
      </c>
      <c r="AD13">
        <v>1806</v>
      </c>
      <c r="AE13">
        <v>823</v>
      </c>
      <c r="AF13">
        <v>529</v>
      </c>
      <c r="AG13">
        <v>455</v>
      </c>
      <c r="AH13">
        <v>12141</v>
      </c>
      <c r="AI13">
        <v>251</v>
      </c>
      <c r="AJ13">
        <v>1050</v>
      </c>
      <c r="AK13">
        <v>1053</v>
      </c>
      <c r="AL13">
        <v>5138</v>
      </c>
      <c r="AM13">
        <v>1615</v>
      </c>
      <c r="AN13">
        <v>666</v>
      </c>
      <c r="AO13">
        <v>281</v>
      </c>
      <c r="AP13">
        <v>423</v>
      </c>
      <c r="AQ13">
        <v>1661</v>
      </c>
      <c r="AR13">
        <v>22719</v>
      </c>
      <c r="AS13">
        <v>108</v>
      </c>
      <c r="AT13">
        <v>345</v>
      </c>
      <c r="AU13">
        <v>77</v>
      </c>
      <c r="AV13">
        <v>871</v>
      </c>
      <c r="AW13">
        <v>375</v>
      </c>
      <c r="AX13">
        <v>480</v>
      </c>
      <c r="AY13">
        <v>1054</v>
      </c>
      <c r="AZ13">
        <v>17943</v>
      </c>
      <c r="BA13">
        <v>1465</v>
      </c>
      <c r="BB13">
        <v>22210</v>
      </c>
      <c r="BC13">
        <v>1598</v>
      </c>
      <c r="BD13">
        <v>2416</v>
      </c>
      <c r="BE13">
        <v>248</v>
      </c>
      <c r="BF13">
        <v>3253</v>
      </c>
      <c r="BG13">
        <v>1888</v>
      </c>
      <c r="BH13">
        <v>3236</v>
      </c>
      <c r="BI13">
        <v>3266</v>
      </c>
      <c r="BJ13">
        <v>2624</v>
      </c>
      <c r="BK13">
        <v>3685</v>
      </c>
      <c r="BL13">
        <v>11863</v>
      </c>
      <c r="BM13">
        <v>190</v>
      </c>
      <c r="BN13">
        <v>173</v>
      </c>
      <c r="BO13">
        <v>183</v>
      </c>
      <c r="BP13">
        <v>774</v>
      </c>
      <c r="BQ13">
        <v>187</v>
      </c>
      <c r="BR13">
        <v>4293</v>
      </c>
      <c r="BS13">
        <v>659</v>
      </c>
      <c r="BT13">
        <v>5399</v>
      </c>
      <c r="BU13">
        <v>66414</v>
      </c>
      <c r="BV13">
        <v>439</v>
      </c>
      <c r="BW13">
        <v>1873</v>
      </c>
      <c r="BX13">
        <v>17</v>
      </c>
      <c r="BY13">
        <v>59557</v>
      </c>
      <c r="BZ13">
        <v>4530</v>
      </c>
      <c r="CA13">
        <v>523098</v>
      </c>
    </row>
    <row r="16" spans="1:79" x14ac:dyDescent="0.2">
      <c r="A16" s="1" t="s">
        <v>250</v>
      </c>
      <c r="B16" s="1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8</v>
      </c>
      <c r="J16" s="2" t="s">
        <v>9</v>
      </c>
      <c r="K16" s="2" t="s">
        <v>10</v>
      </c>
      <c r="L16" s="2" t="s">
        <v>11</v>
      </c>
      <c r="M16" s="1" t="s">
        <v>12</v>
      </c>
      <c r="N16" s="2" t="s">
        <v>13</v>
      </c>
      <c r="O16" s="2" t="s">
        <v>14</v>
      </c>
      <c r="P16" s="1" t="s">
        <v>15</v>
      </c>
      <c r="Q16" s="2" t="s">
        <v>16</v>
      </c>
      <c r="R16" s="2" t="s">
        <v>17</v>
      </c>
      <c r="S16" s="2" t="s">
        <v>18</v>
      </c>
      <c r="T16" s="2" t="s">
        <v>19</v>
      </c>
      <c r="U16" s="2" t="s">
        <v>20</v>
      </c>
      <c r="V16" s="2" t="s">
        <v>21</v>
      </c>
      <c r="W16" s="2" t="s">
        <v>22</v>
      </c>
      <c r="X16" s="2" t="s">
        <v>23</v>
      </c>
      <c r="Y16" s="2" t="s">
        <v>24</v>
      </c>
      <c r="Z16" s="1" t="s">
        <v>25</v>
      </c>
      <c r="AA16" s="2" t="s">
        <v>26</v>
      </c>
      <c r="AB16" s="2" t="s">
        <v>27</v>
      </c>
      <c r="AC16" s="2" t="s">
        <v>28</v>
      </c>
      <c r="AD16" s="1" t="s">
        <v>29</v>
      </c>
      <c r="AE16" s="2" t="s">
        <v>30</v>
      </c>
      <c r="AF16" s="2" t="s">
        <v>31</v>
      </c>
      <c r="AG16" s="2" t="s">
        <v>32</v>
      </c>
      <c r="AH16" s="1" t="s">
        <v>33</v>
      </c>
      <c r="AI16" s="2" t="s">
        <v>34</v>
      </c>
      <c r="AJ16" s="2" t="s">
        <v>35</v>
      </c>
      <c r="AK16" s="2" t="s">
        <v>36</v>
      </c>
      <c r="AL16" s="2" t="s">
        <v>37</v>
      </c>
      <c r="AM16" s="2" t="s">
        <v>38</v>
      </c>
      <c r="AN16" s="2" t="s">
        <v>39</v>
      </c>
      <c r="AO16" s="2" t="s">
        <v>40</v>
      </c>
      <c r="AP16" s="2" t="s">
        <v>41</v>
      </c>
      <c r="AQ16" s="2" t="s">
        <v>42</v>
      </c>
      <c r="AR16" s="1" t="s">
        <v>43</v>
      </c>
      <c r="AS16" s="2" t="s">
        <v>44</v>
      </c>
      <c r="AT16" s="2" t="s">
        <v>45</v>
      </c>
      <c r="AU16" s="2" t="s">
        <v>46</v>
      </c>
      <c r="AV16" s="2" t="s">
        <v>47</v>
      </c>
      <c r="AW16" s="2" t="s">
        <v>48</v>
      </c>
      <c r="AX16" s="2" t="s">
        <v>49</v>
      </c>
      <c r="AY16" s="2" t="s">
        <v>50</v>
      </c>
      <c r="AZ16" s="2" t="s">
        <v>51</v>
      </c>
      <c r="BA16" s="2" t="s">
        <v>52</v>
      </c>
      <c r="BB16" s="1" t="s">
        <v>53</v>
      </c>
      <c r="BC16" s="2" t="s">
        <v>54</v>
      </c>
      <c r="BD16" s="2" t="s">
        <v>55</v>
      </c>
      <c r="BE16" s="2" t="s">
        <v>56</v>
      </c>
      <c r="BF16" s="2" t="s">
        <v>57</v>
      </c>
      <c r="BG16" s="2" t="s">
        <v>58</v>
      </c>
      <c r="BH16" s="2" t="s">
        <v>59</v>
      </c>
      <c r="BI16" s="2" t="s">
        <v>60</v>
      </c>
      <c r="BJ16" s="2" t="s">
        <v>61</v>
      </c>
      <c r="BK16" s="2" t="s">
        <v>62</v>
      </c>
      <c r="BL16" s="1" t="s">
        <v>63</v>
      </c>
      <c r="BM16" s="2" t="s">
        <v>64</v>
      </c>
      <c r="BN16" s="2" t="s">
        <v>65</v>
      </c>
      <c r="BO16" s="2" t="s">
        <v>66</v>
      </c>
      <c r="BP16" s="2" t="s">
        <v>67</v>
      </c>
      <c r="BQ16" s="2" t="s">
        <v>68</v>
      </c>
      <c r="BR16" s="2" t="s">
        <v>69</v>
      </c>
      <c r="BS16" s="2" t="s">
        <v>70</v>
      </c>
      <c r="BT16" s="2" t="s">
        <v>71</v>
      </c>
      <c r="BU16" s="1" t="s">
        <v>72</v>
      </c>
      <c r="BV16" s="2" t="s">
        <v>73</v>
      </c>
      <c r="BW16" s="2" t="s">
        <v>74</v>
      </c>
      <c r="BX16" s="2" t="s">
        <v>75</v>
      </c>
      <c r="BY16" s="2" t="s">
        <v>76</v>
      </c>
      <c r="BZ16" s="2" t="s">
        <v>77</v>
      </c>
      <c r="CA16" s="1" t="s">
        <v>78</v>
      </c>
    </row>
    <row r="17" spans="1:79" x14ac:dyDescent="0.2">
      <c r="A17" t="s">
        <v>160</v>
      </c>
      <c r="B17" s="5">
        <f>B4/$CA4</f>
        <v>0.12620855886005672</v>
      </c>
      <c r="C17" s="4">
        <f>C4/$B4</f>
        <v>5.7447656417645078E-2</v>
      </c>
      <c r="D17" s="4">
        <f t="shared" ref="D17:L17" si="0">D4/$B4</f>
        <v>0.33990374298764597</v>
      </c>
      <c r="E17" s="4">
        <f t="shared" si="0"/>
        <v>6.7686459642561536E-2</v>
      </c>
      <c r="F17" s="4">
        <f t="shared" si="0"/>
        <v>4.2273382177125167E-2</v>
      </c>
      <c r="G17" s="4">
        <f t="shared" si="0"/>
        <v>0.23236565402654732</v>
      </c>
      <c r="H17" s="4">
        <f t="shared" si="0"/>
        <v>0.12731062812298827</v>
      </c>
      <c r="I17" s="4">
        <f t="shared" si="0"/>
        <v>9.7789767327794985E-3</v>
      </c>
      <c r="J17" s="4">
        <f t="shared" si="0"/>
        <v>1.1127801109714602E-2</v>
      </c>
      <c r="K17" s="4">
        <f t="shared" si="0"/>
        <v>3.5989086784586614E-2</v>
      </c>
      <c r="L17" s="4">
        <f t="shared" si="0"/>
        <v>7.5963336501026948E-2</v>
      </c>
      <c r="M17" s="5">
        <f>M4/$CA4</f>
        <v>1.036487934723313E-2</v>
      </c>
      <c r="N17" s="4">
        <f>N4/$M4</f>
        <v>0.97424412094064949</v>
      </c>
      <c r="O17" s="4">
        <f>O4/$M4</f>
        <v>2.5382605449794701E-2</v>
      </c>
      <c r="P17" s="5">
        <f>P4/$CA4</f>
        <v>0.32352429111421488</v>
      </c>
      <c r="Q17" s="4">
        <f>Q4/$P4</f>
        <v>9.8898602025806921E-3</v>
      </c>
      <c r="R17" s="4">
        <f t="shared" ref="R17:Y17" si="1">R4/$P4</f>
        <v>1.6921586682771075E-2</v>
      </c>
      <c r="S17" s="4">
        <f t="shared" si="1"/>
        <v>8.3711029526075987E-5</v>
      </c>
      <c r="T17" s="4">
        <f t="shared" si="1"/>
        <v>2.1154973033089775E-2</v>
      </c>
      <c r="U17" s="4">
        <f t="shared" si="1"/>
        <v>2.8940098779014841E-3</v>
      </c>
      <c r="V17" s="4">
        <f t="shared" si="1"/>
        <v>5.6469068774590112E-2</v>
      </c>
      <c r="W17" s="4">
        <f t="shared" si="1"/>
        <v>7.9525478049772193E-3</v>
      </c>
      <c r="X17" s="4">
        <f t="shared" si="1"/>
        <v>0.87889405771277551</v>
      </c>
      <c r="Y17" s="4">
        <f t="shared" si="1"/>
        <v>5.6923500077731672E-3</v>
      </c>
      <c r="Z17" s="5">
        <f t="shared" ref="Z17:AH17" si="2">Z4/$CA4</f>
        <v>0.26193470009943165</v>
      </c>
      <c r="AA17" s="4">
        <f>AA4/$Z4</f>
        <v>0.62439809754512421</v>
      </c>
      <c r="AB17" s="4">
        <f t="shared" ref="AB17:AC17" si="3">AB4/$Z4</f>
        <v>0.10259667365808986</v>
      </c>
      <c r="AC17" s="4">
        <f t="shared" si="3"/>
        <v>0.27296091695961716</v>
      </c>
      <c r="AD17" s="5">
        <f t="shared" si="2"/>
        <v>2.6115317504226813E-3</v>
      </c>
      <c r="AE17" s="4">
        <f>AE4/$AD4</f>
        <v>0.62518518518518518</v>
      </c>
      <c r="AF17" s="4">
        <f t="shared" ref="AF17:AG17" si="4">AF4/$AD4</f>
        <v>0.32148148148148148</v>
      </c>
      <c r="AG17" s="4">
        <f t="shared" si="4"/>
        <v>5.4814814814814816E-2</v>
      </c>
      <c r="AH17" s="5">
        <f t="shared" si="2"/>
        <v>3.2371386897461593E-2</v>
      </c>
      <c r="AI17" s="4">
        <f>AI4/$AH4</f>
        <v>2.7130393211425841E-2</v>
      </c>
      <c r="AJ17" s="4">
        <f t="shared" ref="AJ17:AQ17" si="5">AJ4/$AH4</f>
        <v>7.8522768017210476E-2</v>
      </c>
      <c r="AK17" s="4">
        <f t="shared" si="5"/>
        <v>0.10123102665232461</v>
      </c>
      <c r="AL17" s="4">
        <f t="shared" si="5"/>
        <v>0.4166367873789889</v>
      </c>
      <c r="AM17" s="4">
        <f t="shared" si="5"/>
        <v>0.11772439345046014</v>
      </c>
      <c r="AN17" s="4">
        <f t="shared" si="5"/>
        <v>4.4101828612405879E-2</v>
      </c>
      <c r="AO17" s="4">
        <f t="shared" si="5"/>
        <v>3.764790247400502E-2</v>
      </c>
      <c r="AP17" s="4">
        <f t="shared" si="5"/>
        <v>4.9958168997251105E-2</v>
      </c>
      <c r="AQ17" s="4">
        <f t="shared" si="5"/>
        <v>0.1272857655073503</v>
      </c>
      <c r="AR17" s="5">
        <f t="shared" ref="AR17" si="6">AR4/$CA4</f>
        <v>5.1866955031357728E-2</v>
      </c>
      <c r="AS17" s="4">
        <f>AS4/$AR4</f>
        <v>1.3725197672683874E-2</v>
      </c>
      <c r="AT17" s="4">
        <f t="shared" ref="AT17:BA17" si="7">AT4/$AR4</f>
        <v>1.8349992540653438E-2</v>
      </c>
      <c r="AU17" s="4">
        <f t="shared" si="7"/>
        <v>8.2798746829777711E-3</v>
      </c>
      <c r="AV17" s="4">
        <f t="shared" si="7"/>
        <v>7.3399970162613751E-2</v>
      </c>
      <c r="AW17" s="4">
        <f t="shared" si="7"/>
        <v>1.9991048784126511E-2</v>
      </c>
      <c r="AX17" s="4">
        <f t="shared" si="7"/>
        <v>7.9069073549157098E-2</v>
      </c>
      <c r="AY17" s="4">
        <f t="shared" si="7"/>
        <v>4.4905266298672239E-2</v>
      </c>
      <c r="AZ17" s="4">
        <f t="shared" si="7"/>
        <v>0.65955542294495006</v>
      </c>
      <c r="BA17" s="4">
        <f t="shared" si="7"/>
        <v>8.2574966432940475E-2</v>
      </c>
      <c r="BB17" s="5">
        <f t="shared" ref="BB17" si="8">BB4/$CA4</f>
        <v>5.9531317101857474E-2</v>
      </c>
      <c r="BC17" s="4">
        <f>BC4/$BB4</f>
        <v>5.667121596152596E-2</v>
      </c>
      <c r="BD17" s="4">
        <f t="shared" ref="BD17:BK17" si="9">BD4/$BB4</f>
        <v>0.12166114252290895</v>
      </c>
      <c r="BE17" s="4">
        <f t="shared" si="9"/>
        <v>1.0463378176382661E-2</v>
      </c>
      <c r="BF17" s="4">
        <f t="shared" si="9"/>
        <v>0.14746214336777799</v>
      </c>
      <c r="BG17" s="4">
        <f t="shared" si="9"/>
        <v>0.10021446675765257</v>
      </c>
      <c r="BH17" s="4">
        <f t="shared" si="9"/>
        <v>0.113862351335543</v>
      </c>
      <c r="BI17" s="4">
        <f t="shared" si="9"/>
        <v>0.10989796581529863</v>
      </c>
      <c r="BJ17" s="4">
        <f t="shared" si="9"/>
        <v>0.19107038409046598</v>
      </c>
      <c r="BK17" s="4">
        <f t="shared" si="9"/>
        <v>0.14882693182556703</v>
      </c>
      <c r="BL17" s="5">
        <f t="shared" ref="BL17" si="10">BL4/$CA4</f>
        <v>2.5372481806328805E-2</v>
      </c>
      <c r="BM17" s="4">
        <f>BM4/$BL4</f>
        <v>2.0738029887160721E-2</v>
      </c>
      <c r="BN17" s="4">
        <f t="shared" ref="BN17:BT17" si="11">BN4/$BL4</f>
        <v>2.0280573345532175E-2</v>
      </c>
      <c r="BO17" s="4">
        <f t="shared" si="11"/>
        <v>9.7590728880756327E-3</v>
      </c>
      <c r="BP17" s="4">
        <f t="shared" si="11"/>
        <v>5.0015248551387621E-2</v>
      </c>
      <c r="BQ17" s="4">
        <f t="shared" si="11"/>
        <v>1.4028667276608722E-2</v>
      </c>
      <c r="BR17" s="4">
        <f t="shared" si="11"/>
        <v>0.38609332113449224</v>
      </c>
      <c r="BS17" s="4">
        <f t="shared" si="11"/>
        <v>6.2366575175358339E-2</v>
      </c>
      <c r="BT17" s="4">
        <f t="shared" si="11"/>
        <v>0.4364135407136322</v>
      </c>
      <c r="BU17" s="5">
        <f t="shared" ref="BU17" si="12">BU4/$CA4</f>
        <v>0.10621002905570881</v>
      </c>
      <c r="BV17" s="4">
        <f>BV4/$BU4</f>
        <v>5.6935742386711348E-2</v>
      </c>
      <c r="BW17" s="4">
        <f t="shared" ref="BW17:BZ17" si="13">BW4/$BU4</f>
        <v>3.6026519015008016E-2</v>
      </c>
      <c r="BX17" s="4">
        <f t="shared" si="13"/>
        <v>3.6427218417601634E-5</v>
      </c>
      <c r="BY17" s="4">
        <f t="shared" si="13"/>
        <v>0.68690805770071395</v>
      </c>
      <c r="BZ17" s="4">
        <f t="shared" si="13"/>
        <v>0.22012968089756665</v>
      </c>
      <c r="CA17" s="5">
        <f>SUM(B17,M17,P17,Z17,AD17,AH17,AR17,BB17,BL17,BU17)</f>
        <v>0.99999613106407348</v>
      </c>
    </row>
    <row r="18" spans="1:79" x14ac:dyDescent="0.2">
      <c r="A18" t="s">
        <v>161</v>
      </c>
      <c r="B18" s="5">
        <f t="shared" ref="B18:P18" si="14">B5/$CA5</f>
        <v>0.12144663396762397</v>
      </c>
      <c r="C18" s="4">
        <f t="shared" ref="C18:L26" si="15">C5/$B5</f>
        <v>4.4212482238496012E-2</v>
      </c>
      <c r="D18" s="4">
        <f t="shared" si="15"/>
        <v>0.32336867417204068</v>
      </c>
      <c r="E18" s="4">
        <f t="shared" si="15"/>
        <v>6.4078041315990819E-2</v>
      </c>
      <c r="F18" s="4">
        <f t="shared" si="15"/>
        <v>3.891135643239698E-2</v>
      </c>
      <c r="G18" s="4">
        <f t="shared" si="15"/>
        <v>0.25510984807082743</v>
      </c>
      <c r="H18" s="4">
        <f t="shared" si="15"/>
        <v>0.13933216744999455</v>
      </c>
      <c r="I18" s="4">
        <f t="shared" si="15"/>
        <v>9.0173789485189643E-3</v>
      </c>
      <c r="J18" s="4">
        <f t="shared" si="15"/>
        <v>1.0083069187889386E-2</v>
      </c>
      <c r="K18" s="4">
        <f t="shared" si="15"/>
        <v>3.3610230626297956E-2</v>
      </c>
      <c r="L18" s="4">
        <f t="shared" si="15"/>
        <v>8.2276751557547267E-2</v>
      </c>
      <c r="M18" s="5">
        <f t="shared" si="14"/>
        <v>1.0058606065030829E-2</v>
      </c>
      <c r="N18" s="4">
        <f t="shared" ref="N18:O18" si="16">N5/$M5</f>
        <v>0.97723523589574401</v>
      </c>
      <c r="O18" s="4">
        <f t="shared" si="16"/>
        <v>2.210491586935005E-2</v>
      </c>
      <c r="P18" s="5">
        <f t="shared" si="14"/>
        <v>0.33010878294517049</v>
      </c>
      <c r="Q18" s="4">
        <f t="shared" ref="Q18:Y18" si="17">Q5/$P5</f>
        <v>8.1228071939119153E-3</v>
      </c>
      <c r="R18" s="4">
        <f t="shared" si="17"/>
        <v>1.9160978355935783E-2</v>
      </c>
      <c r="S18" s="4">
        <f t="shared" si="17"/>
        <v>0</v>
      </c>
      <c r="T18" s="4">
        <f t="shared" si="17"/>
        <v>1.9854633920762418E-2</v>
      </c>
      <c r="U18" s="4">
        <f t="shared" si="17"/>
        <v>2.7846752385069316E-3</v>
      </c>
      <c r="V18" s="4">
        <f t="shared" si="17"/>
        <v>5.8830034280659076E-2</v>
      </c>
      <c r="W18" s="4">
        <f t="shared" si="17"/>
        <v>1.5833442240608005E-2</v>
      </c>
      <c r="X18" s="4">
        <f t="shared" si="17"/>
        <v>0.87041709810702406</v>
      </c>
      <c r="Y18" s="4">
        <f t="shared" si="17"/>
        <v>4.9862776833914726E-3</v>
      </c>
      <c r="Z18" s="5">
        <f t="shared" ref="Z18:BU18" si="18">Z5/$CA5</f>
        <v>0.30248495025453481</v>
      </c>
      <c r="AA18" s="4">
        <f t="shared" ref="AA18:AC18" si="19">AA5/$Z5</f>
        <v>0.62680885144104703</v>
      </c>
      <c r="AB18" s="4">
        <f t="shared" si="19"/>
        <v>8.4060165223973929E-2</v>
      </c>
      <c r="AC18" s="4">
        <f t="shared" si="19"/>
        <v>0.28914195438238488</v>
      </c>
      <c r="AD18" s="5">
        <f t="shared" si="18"/>
        <v>2.256632175592532E-3</v>
      </c>
      <c r="AE18" s="4">
        <f t="shared" ref="AE18:AG18" si="20">AE5/$AD5</f>
        <v>0.57352941176470584</v>
      </c>
      <c r="AF18" s="4">
        <f t="shared" si="20"/>
        <v>0.35441176470588237</v>
      </c>
      <c r="AG18" s="4">
        <f t="shared" si="20"/>
        <v>7.2058823529411759E-2</v>
      </c>
      <c r="AH18" s="5">
        <f t="shared" si="18"/>
        <v>2.8682458667126844E-2</v>
      </c>
      <c r="AI18" s="4">
        <f t="shared" ref="AI18:AQ18" si="21">AI5/$AH5</f>
        <v>2.3024412819622815E-2</v>
      </c>
      <c r="AJ18" s="4">
        <f t="shared" si="21"/>
        <v>8.1221797986810132E-2</v>
      </c>
      <c r="AK18" s="4">
        <f t="shared" si="21"/>
        <v>0.11095684368853408</v>
      </c>
      <c r="AL18" s="4">
        <f t="shared" si="21"/>
        <v>0.40240657179220179</v>
      </c>
      <c r="AM18" s="4">
        <f t="shared" si="21"/>
        <v>0.136526668980678</v>
      </c>
      <c r="AN18" s="4">
        <f t="shared" si="21"/>
        <v>3.0660650237186161E-2</v>
      </c>
      <c r="AO18" s="4">
        <f t="shared" si="21"/>
        <v>3.9222492190211733E-2</v>
      </c>
      <c r="AP18" s="4">
        <f t="shared" si="21"/>
        <v>5.1255351151220638E-2</v>
      </c>
      <c r="AQ18" s="4">
        <f t="shared" si="21"/>
        <v>0.12403100775193798</v>
      </c>
      <c r="AR18" s="5">
        <f t="shared" si="18"/>
        <v>4.8945688173256251E-2</v>
      </c>
      <c r="AS18" s="4">
        <f t="shared" ref="AS18:BA18" si="22">AS5/$AR5</f>
        <v>1.1255000339006034E-2</v>
      </c>
      <c r="AT18" s="4">
        <f t="shared" si="22"/>
        <v>1.9933554817275746E-2</v>
      </c>
      <c r="AU18" s="4">
        <f t="shared" si="22"/>
        <v>7.7971387890704456E-3</v>
      </c>
      <c r="AV18" s="4">
        <f t="shared" si="22"/>
        <v>6.8682622550681402E-2</v>
      </c>
      <c r="AW18" s="4">
        <f t="shared" si="22"/>
        <v>1.8577530680046105E-2</v>
      </c>
      <c r="AX18" s="4">
        <f t="shared" si="22"/>
        <v>6.1156688589056887E-2</v>
      </c>
      <c r="AY18" s="4">
        <f t="shared" si="22"/>
        <v>6.2173706691979115E-2</v>
      </c>
      <c r="AZ18" s="4">
        <f t="shared" si="22"/>
        <v>0.67509661671977761</v>
      </c>
      <c r="BA18" s="4">
        <f t="shared" si="22"/>
        <v>7.5530544443691103E-2</v>
      </c>
      <c r="BB18" s="5">
        <f t="shared" si="18"/>
        <v>4.8577326156358062E-2</v>
      </c>
      <c r="BC18" s="4">
        <f t="shared" ref="BC18:BK18" si="23">BC5/$BB5</f>
        <v>5.0689984970624401E-2</v>
      </c>
      <c r="BD18" s="4">
        <f t="shared" si="23"/>
        <v>0.12884273807897254</v>
      </c>
      <c r="BE18" s="4">
        <f t="shared" si="23"/>
        <v>1.2843284601721546E-2</v>
      </c>
      <c r="BF18" s="4">
        <f t="shared" si="23"/>
        <v>0.14967891788495696</v>
      </c>
      <c r="BG18" s="4">
        <f t="shared" si="23"/>
        <v>8.3754611285694766E-2</v>
      </c>
      <c r="BH18" s="4">
        <f t="shared" si="23"/>
        <v>0.13745047137587102</v>
      </c>
      <c r="BI18" s="4">
        <f t="shared" si="23"/>
        <v>0.12617843967755157</v>
      </c>
      <c r="BJ18" s="4">
        <f t="shared" si="23"/>
        <v>0.15466593796966799</v>
      </c>
      <c r="BK18" s="4">
        <f t="shared" si="23"/>
        <v>0.15596392949856538</v>
      </c>
      <c r="BL18" s="5">
        <f t="shared" si="18"/>
        <v>2.2755480629467632E-2</v>
      </c>
      <c r="BM18" s="4">
        <f t="shared" ref="BM18:BT18" si="24">BM5/$BL5</f>
        <v>2.1000437509114775E-2</v>
      </c>
      <c r="BN18" s="4">
        <f t="shared" si="24"/>
        <v>2.056292839434155E-2</v>
      </c>
      <c r="BO18" s="4">
        <f t="shared" si="24"/>
        <v>1.0208546011375236E-2</v>
      </c>
      <c r="BP18" s="4">
        <f t="shared" si="24"/>
        <v>4.7834329881872542E-2</v>
      </c>
      <c r="BQ18" s="4">
        <f t="shared" si="24"/>
        <v>1.6771182732973604E-2</v>
      </c>
      <c r="BR18" s="4">
        <f t="shared" si="24"/>
        <v>0.38194545719702494</v>
      </c>
      <c r="BS18" s="4">
        <f t="shared" si="24"/>
        <v>6.2272130669388949E-2</v>
      </c>
      <c r="BT18" s="4">
        <f t="shared" si="24"/>
        <v>0.43998833309027269</v>
      </c>
      <c r="BU18" s="5">
        <f t="shared" si="18"/>
        <v>8.4700033849482631E-2</v>
      </c>
      <c r="BV18" s="4">
        <f t="shared" ref="BV18:BZ18" si="25">BV5/$BU5</f>
        <v>5.7751831681228695E-2</v>
      </c>
      <c r="BW18" s="4">
        <f t="shared" si="25"/>
        <v>2.652509501234181E-2</v>
      </c>
      <c r="BX18" s="4">
        <f t="shared" si="25"/>
        <v>3.9180347137875642E-5</v>
      </c>
      <c r="BY18" s="4">
        <f t="shared" si="25"/>
        <v>0.69035771656936884</v>
      </c>
      <c r="BZ18" s="4">
        <f t="shared" si="25"/>
        <v>0.22524781569564706</v>
      </c>
      <c r="CA18" s="5">
        <f t="shared" ref="CA18:CA26" si="26">SUM(B18,M18,P18,Z18,AD18,AH18,AR18,BB18,BL18,BU18)</f>
        <v>1.000016592883644</v>
      </c>
    </row>
    <row r="19" spans="1:79" x14ac:dyDescent="0.2">
      <c r="A19" t="s">
        <v>162</v>
      </c>
      <c r="B19" s="5">
        <f t="shared" ref="B19:P19" si="27">B6/$CA6</f>
        <v>0.10234899815736402</v>
      </c>
      <c r="C19" s="4">
        <f t="shared" si="15"/>
        <v>5.1742224490374529E-2</v>
      </c>
      <c r="D19" s="4">
        <f t="shared" si="15"/>
        <v>0.38572765161180572</v>
      </c>
      <c r="E19" s="4">
        <f t="shared" si="15"/>
        <v>7.0341073403079019E-2</v>
      </c>
      <c r="F19" s="4">
        <f t="shared" si="15"/>
        <v>4.1648946726772704E-2</v>
      </c>
      <c r="G19" s="4">
        <f t="shared" si="15"/>
        <v>0.20770604746108701</v>
      </c>
      <c r="H19" s="4">
        <f t="shared" si="15"/>
        <v>0.10113124096283066</v>
      </c>
      <c r="I19" s="4">
        <f t="shared" si="15"/>
        <v>8.5055711491026625E-3</v>
      </c>
      <c r="J19" s="4">
        <f t="shared" si="15"/>
        <v>1.1142298205324487E-2</v>
      </c>
      <c r="K19" s="4">
        <f t="shared" si="15"/>
        <v>3.8530237305435061E-2</v>
      </c>
      <c r="L19" s="4">
        <f t="shared" si="15"/>
        <v>8.352470868418814E-2</v>
      </c>
      <c r="M19" s="5">
        <f t="shared" si="27"/>
        <v>9.7993412939076947E-3</v>
      </c>
      <c r="N19" s="4">
        <f t="shared" ref="N19:O19" si="28">N6/$M6</f>
        <v>0.98252887177968606</v>
      </c>
      <c r="O19" s="4">
        <f t="shared" si="28"/>
        <v>1.7471128220313888E-2</v>
      </c>
      <c r="P19" s="5">
        <f t="shared" si="27"/>
        <v>0.31014030149587218</v>
      </c>
      <c r="Q19" s="4">
        <f t="shared" ref="Q19:Y19" si="29">Q6/$P6</f>
        <v>6.8395101002067761E-3</v>
      </c>
      <c r="R19" s="4">
        <f t="shared" si="29"/>
        <v>1.3080212202584231E-2</v>
      </c>
      <c r="S19" s="4">
        <f t="shared" si="29"/>
        <v>1.4034562449124712E-4</v>
      </c>
      <c r="T19" s="4">
        <f t="shared" si="29"/>
        <v>2.0752439674772406E-2</v>
      </c>
      <c r="U19" s="4">
        <f t="shared" si="29"/>
        <v>2.2268172419277876E-3</v>
      </c>
      <c r="V19" s="4">
        <f t="shared" si="29"/>
        <v>6.057317153042225E-2</v>
      </c>
      <c r="W19" s="4">
        <f t="shared" si="29"/>
        <v>1.9741951178435427E-2</v>
      </c>
      <c r="X19" s="4">
        <f t="shared" si="29"/>
        <v>0.87119078584193343</v>
      </c>
      <c r="Y19" s="4">
        <f t="shared" si="29"/>
        <v>5.4641229801925539E-3</v>
      </c>
      <c r="Z19" s="5">
        <f t="shared" ref="Z19:BU19" si="30">Z6/$CA6</f>
        <v>0.35479883348084096</v>
      </c>
      <c r="AA19" s="4">
        <f t="shared" ref="AA19:AC19" si="31">AA6/$Z6</f>
        <v>0.54672893374444875</v>
      </c>
      <c r="AB19" s="4">
        <f t="shared" si="31"/>
        <v>9.1527697126826915E-2</v>
      </c>
      <c r="AC19" s="4">
        <f t="shared" si="31"/>
        <v>0.36173519044074948</v>
      </c>
      <c r="AD19" s="5">
        <f t="shared" si="30"/>
        <v>1.9238860757657095E-3</v>
      </c>
      <c r="AE19" s="4">
        <f t="shared" ref="AE19:AG19" si="32">AE6/$AD6</f>
        <v>0.55505279034690802</v>
      </c>
      <c r="AF19" s="4">
        <f t="shared" si="32"/>
        <v>0.36199095022624433</v>
      </c>
      <c r="AG19" s="4">
        <f t="shared" si="32"/>
        <v>8.2956259426847659E-2</v>
      </c>
      <c r="AH19" s="5">
        <f t="shared" si="30"/>
        <v>3.0497801894868188E-2</v>
      </c>
      <c r="AI19" s="4">
        <f t="shared" ref="AI19:AQ19" si="33">AI6/$AH6</f>
        <v>1.9124643196955282E-2</v>
      </c>
      <c r="AJ19" s="4">
        <f t="shared" si="33"/>
        <v>8.9153187440532827E-2</v>
      </c>
      <c r="AK19" s="4">
        <f t="shared" si="33"/>
        <v>9.7906755470980017E-2</v>
      </c>
      <c r="AL19" s="4">
        <f t="shared" si="33"/>
        <v>0.45195052331113228</v>
      </c>
      <c r="AM19" s="4">
        <f t="shared" si="33"/>
        <v>0.1280685061845861</v>
      </c>
      <c r="AN19" s="4">
        <f t="shared" si="33"/>
        <v>3.0447193149381543E-2</v>
      </c>
      <c r="AO19" s="4">
        <f t="shared" si="33"/>
        <v>2.8353948620361561E-2</v>
      </c>
      <c r="AP19" s="4">
        <f t="shared" si="33"/>
        <v>4.2150333016175073E-2</v>
      </c>
      <c r="AQ19" s="4">
        <f t="shared" si="33"/>
        <v>0.11274976213130353</v>
      </c>
      <c r="AR19" s="5">
        <f t="shared" si="30"/>
        <v>4.942036765666033E-2</v>
      </c>
      <c r="AS19" s="4">
        <f t="shared" ref="AS19:BA19" si="34">AS6/$AR6</f>
        <v>9.7469320650578357E-3</v>
      </c>
      <c r="AT19" s="4">
        <f t="shared" si="34"/>
        <v>1.8025952674534673E-2</v>
      </c>
      <c r="AU19" s="4">
        <f t="shared" si="34"/>
        <v>5.6954964476542778E-3</v>
      </c>
      <c r="AV19" s="4">
        <f t="shared" si="34"/>
        <v>6.7230344665609773E-2</v>
      </c>
      <c r="AW19" s="4">
        <f t="shared" si="34"/>
        <v>1.6029593094944512E-2</v>
      </c>
      <c r="AX19" s="4">
        <f t="shared" si="34"/>
        <v>5.4430156772943453E-2</v>
      </c>
      <c r="AY19" s="4">
        <f t="shared" si="34"/>
        <v>6.0419235511713937E-2</v>
      </c>
      <c r="AZ19" s="4">
        <f t="shared" si="34"/>
        <v>0.69420468557336623</v>
      </c>
      <c r="BA19" s="4">
        <f t="shared" si="34"/>
        <v>7.4276319652398573E-2</v>
      </c>
      <c r="BB19" s="5">
        <f t="shared" si="30"/>
        <v>4.4548264004758933E-2</v>
      </c>
      <c r="BC19" s="4">
        <f t="shared" ref="BC19:BK19" si="35">BC6/$BB6</f>
        <v>6.1164669098488798E-2</v>
      </c>
      <c r="BD19" s="4">
        <f t="shared" si="35"/>
        <v>0.11939812402292861</v>
      </c>
      <c r="BE19" s="4">
        <f t="shared" si="35"/>
        <v>1.7912975508077123E-2</v>
      </c>
      <c r="BF19" s="4">
        <f t="shared" si="35"/>
        <v>0.14955706096925481</v>
      </c>
      <c r="BG19" s="4">
        <f t="shared" si="35"/>
        <v>8.3637311099531E-2</v>
      </c>
      <c r="BH19" s="4">
        <f t="shared" si="35"/>
        <v>0.13079729025534131</v>
      </c>
      <c r="BI19" s="4">
        <f t="shared" si="35"/>
        <v>0.13535695674830642</v>
      </c>
      <c r="BJ19" s="4">
        <f t="shared" si="35"/>
        <v>0.11027879103699843</v>
      </c>
      <c r="BK19" s="4">
        <f t="shared" si="35"/>
        <v>0.19183168316831684</v>
      </c>
      <c r="BL19" s="5">
        <f t="shared" si="30"/>
        <v>2.1148237888658359E-2</v>
      </c>
      <c r="BM19" s="4">
        <f t="shared" ref="BM19:BT19" si="36">BM6/$BL6</f>
        <v>2.2228320526893525E-2</v>
      </c>
      <c r="BN19" s="4">
        <f t="shared" si="36"/>
        <v>2.0856201975850714E-2</v>
      </c>
      <c r="BO19" s="4">
        <f t="shared" si="36"/>
        <v>1.0976948408342482E-2</v>
      </c>
      <c r="BP19" s="4">
        <f t="shared" si="36"/>
        <v>4.6103183315038418E-2</v>
      </c>
      <c r="BQ19" s="4">
        <f t="shared" si="36"/>
        <v>1.7014270032930844E-2</v>
      </c>
      <c r="BR19" s="4">
        <f t="shared" si="36"/>
        <v>0.37939077936333698</v>
      </c>
      <c r="BS19" s="4">
        <f t="shared" si="36"/>
        <v>6.0373216245883647E-2</v>
      </c>
      <c r="BT19" s="4">
        <f t="shared" si="36"/>
        <v>0.44333150384193193</v>
      </c>
      <c r="BU19" s="5">
        <f t="shared" si="30"/>
        <v>7.5373968051303628E-2</v>
      </c>
      <c r="BV19" s="4">
        <f t="shared" ref="BV19:BZ19" si="37">BV6/$BU6</f>
        <v>5.2781520692974017E-2</v>
      </c>
      <c r="BW19" s="4">
        <f t="shared" si="37"/>
        <v>3.1337824831568814E-2</v>
      </c>
      <c r="BX19" s="4">
        <f t="shared" si="37"/>
        <v>0</v>
      </c>
      <c r="BY19" s="4">
        <f t="shared" si="37"/>
        <v>0.73670837343599616</v>
      </c>
      <c r="BZ19" s="4">
        <f t="shared" si="37"/>
        <v>0.17905678537054862</v>
      </c>
      <c r="CA19" s="5">
        <f t="shared" si="26"/>
        <v>1</v>
      </c>
    </row>
    <row r="20" spans="1:79" x14ac:dyDescent="0.2">
      <c r="A20" t="s">
        <v>163</v>
      </c>
      <c r="B20" s="5">
        <f t="shared" ref="B20:P20" si="38">B7/$CA7</f>
        <v>9.6540600695931345E-2</v>
      </c>
      <c r="C20" s="4">
        <f t="shared" si="15"/>
        <v>5.6468963319078858E-2</v>
      </c>
      <c r="D20" s="4">
        <f t="shared" si="15"/>
        <v>0.43724932933145633</v>
      </c>
      <c r="E20" s="4">
        <f t="shared" si="15"/>
        <v>6.6084092538978456E-2</v>
      </c>
      <c r="F20" s="4">
        <f t="shared" si="15"/>
        <v>4.0611968445377032E-2</v>
      </c>
      <c r="G20" s="4">
        <f t="shared" si="15"/>
        <v>0.15647161943212304</v>
      </c>
      <c r="H20" s="4">
        <f t="shared" si="15"/>
        <v>0.1092193683763181</v>
      </c>
      <c r="I20" s="4">
        <f t="shared" si="15"/>
        <v>7.1183829583787083E-3</v>
      </c>
      <c r="J20" s="4">
        <f t="shared" si="15"/>
        <v>1.1288480437727429E-2</v>
      </c>
      <c r="K20" s="4">
        <f t="shared" si="15"/>
        <v>3.6494993226911736E-2</v>
      </c>
      <c r="L20" s="4">
        <f t="shared" si="15"/>
        <v>7.9072485324975433E-2</v>
      </c>
      <c r="M20" s="5">
        <f t="shared" si="38"/>
        <v>9.185062862036868E-3</v>
      </c>
      <c r="N20" s="4">
        <f t="shared" ref="N20:O20" si="39">N7/$M7</f>
        <v>0.98352875488553881</v>
      </c>
      <c r="O20" s="4">
        <f t="shared" si="39"/>
        <v>1.6471245114461196E-2</v>
      </c>
      <c r="P20" s="5">
        <f t="shared" si="38"/>
        <v>0.34979909277631477</v>
      </c>
      <c r="Q20" s="4">
        <f t="shared" ref="Q20:Y20" si="40">Q7/$P7</f>
        <v>4.2444012755195543E-3</v>
      </c>
      <c r="R20" s="4">
        <f t="shared" si="40"/>
        <v>7.7044313308653745E-3</v>
      </c>
      <c r="S20" s="4">
        <f t="shared" si="40"/>
        <v>1.4661144302312794E-4</v>
      </c>
      <c r="T20" s="4">
        <f t="shared" si="40"/>
        <v>1.6310523036322987E-2</v>
      </c>
      <c r="U20" s="4">
        <f t="shared" si="40"/>
        <v>1.3414947036616209E-3</v>
      </c>
      <c r="V20" s="4">
        <f t="shared" si="40"/>
        <v>3.5509291500201594E-2</v>
      </c>
      <c r="W20" s="4">
        <f t="shared" si="40"/>
        <v>1.2586592383535536E-2</v>
      </c>
      <c r="X20" s="4">
        <f t="shared" si="40"/>
        <v>0.9178682696184437</v>
      </c>
      <c r="Y20" s="4">
        <f t="shared" si="40"/>
        <v>4.2810541362753359E-3</v>
      </c>
      <c r="Z20" s="5">
        <f t="shared" ref="Z20:BU20" si="41">Z7/$CA7</f>
        <v>0.32383116100527976</v>
      </c>
      <c r="AA20" s="4">
        <f t="shared" ref="AA20:AC20" si="42">AA7/$Z7</f>
        <v>0.5063109717471177</v>
      </c>
      <c r="AB20" s="4">
        <f t="shared" si="42"/>
        <v>9.6794628151526674E-2</v>
      </c>
      <c r="AC20" s="4">
        <f t="shared" si="42"/>
        <v>0.39690231851007224</v>
      </c>
      <c r="AD20" s="5">
        <f t="shared" si="41"/>
        <v>1.6590551847397695E-3</v>
      </c>
      <c r="AE20" s="4">
        <f t="shared" ref="AE20:AG20" si="43">AE7/$AD7</f>
        <v>0.55486862442040186</v>
      </c>
      <c r="AF20" s="4">
        <f t="shared" si="43"/>
        <v>0.37557959814528591</v>
      </c>
      <c r="AG20" s="4">
        <f t="shared" si="43"/>
        <v>7.2642967542503864E-2</v>
      </c>
      <c r="AH20" s="5">
        <f t="shared" si="41"/>
        <v>3.0696367258917744E-2</v>
      </c>
      <c r="AI20" s="4">
        <f t="shared" ref="AI20:AQ20" si="44">AI7/$AH7</f>
        <v>1.7709464539303315E-2</v>
      </c>
      <c r="AJ20" s="4">
        <f t="shared" si="44"/>
        <v>6.2985548408654252E-2</v>
      </c>
      <c r="AK20" s="4">
        <f t="shared" si="44"/>
        <v>8.420349177178181E-2</v>
      </c>
      <c r="AL20" s="4">
        <f t="shared" si="44"/>
        <v>0.52201152785899252</v>
      </c>
      <c r="AM20" s="4">
        <f t="shared" si="44"/>
        <v>0.12797594185949376</v>
      </c>
      <c r="AN20" s="4">
        <f t="shared" si="44"/>
        <v>2.1886225043855987E-2</v>
      </c>
      <c r="AO20" s="4">
        <f t="shared" si="44"/>
        <v>2.7399548909865509E-2</v>
      </c>
      <c r="AP20" s="4">
        <f t="shared" si="44"/>
        <v>3.3163478406148195E-2</v>
      </c>
      <c r="AQ20" s="4">
        <f t="shared" si="44"/>
        <v>0.10233063236154039</v>
      </c>
      <c r="AR20" s="5">
        <f t="shared" si="41"/>
        <v>4.5045784281798347E-2</v>
      </c>
      <c r="AS20" s="4">
        <f t="shared" ref="AS20:BA20" si="45">AS7/$AR7</f>
        <v>8.0264131610405867E-3</v>
      </c>
      <c r="AT20" s="4">
        <f t="shared" si="45"/>
        <v>1.8500597711618376E-2</v>
      </c>
      <c r="AU20" s="4">
        <f t="shared" si="45"/>
        <v>6.1478909318608754E-3</v>
      </c>
      <c r="AV20" s="4">
        <f t="shared" si="45"/>
        <v>6.2275858143109236E-2</v>
      </c>
      <c r="AW20" s="4">
        <f t="shared" si="45"/>
        <v>1.7362099390903399E-2</v>
      </c>
      <c r="AX20" s="4">
        <f t="shared" si="45"/>
        <v>5.720954061592759E-2</v>
      </c>
      <c r="AY20" s="4">
        <f t="shared" si="45"/>
        <v>6.9277622815506354E-2</v>
      </c>
      <c r="AZ20" s="4">
        <f t="shared" si="45"/>
        <v>0.68304206751295038</v>
      </c>
      <c r="BA20" s="4">
        <f t="shared" si="45"/>
        <v>7.8100984801047421E-2</v>
      </c>
      <c r="BB20" s="5">
        <f t="shared" si="41"/>
        <v>4.3571353476194993E-2</v>
      </c>
      <c r="BC20" s="4">
        <f t="shared" ref="BC20:BK20" si="46">BC7/$BB7</f>
        <v>6.2617702448210924E-2</v>
      </c>
      <c r="BD20" s="4">
        <f t="shared" si="46"/>
        <v>0.1154072504708098</v>
      </c>
      <c r="BE20" s="4">
        <f t="shared" si="46"/>
        <v>1.1299435028248588E-2</v>
      </c>
      <c r="BF20" s="4">
        <f t="shared" si="46"/>
        <v>0.14453860640301319</v>
      </c>
      <c r="BG20" s="4">
        <f t="shared" si="46"/>
        <v>8.2980225988700571E-2</v>
      </c>
      <c r="BH20" s="4">
        <f t="shared" si="46"/>
        <v>0.15636770244821091</v>
      </c>
      <c r="BI20" s="4">
        <f t="shared" si="46"/>
        <v>0.12541195856873824</v>
      </c>
      <c r="BJ20" s="4">
        <f t="shared" si="46"/>
        <v>0.11293549905838042</v>
      </c>
      <c r="BK20" s="4">
        <f t="shared" si="46"/>
        <v>0.18879472693032015</v>
      </c>
      <c r="BL20" s="5">
        <f t="shared" si="41"/>
        <v>2.1047179221551818E-2</v>
      </c>
      <c r="BM20" s="4">
        <f t="shared" ref="BM20:BT20" si="47">BM7/$BL7</f>
        <v>1.9127680311890837E-2</v>
      </c>
      <c r="BN20" s="4">
        <f t="shared" si="47"/>
        <v>2.2173489278752435E-2</v>
      </c>
      <c r="BO20" s="4">
        <f t="shared" si="47"/>
        <v>1.145224171539961E-2</v>
      </c>
      <c r="BP20" s="4">
        <f t="shared" si="47"/>
        <v>4.5930799220272905E-2</v>
      </c>
      <c r="BQ20" s="4">
        <f t="shared" si="47"/>
        <v>1.48635477582846E-2</v>
      </c>
      <c r="BR20" s="4">
        <f t="shared" si="47"/>
        <v>0.47587719298245612</v>
      </c>
      <c r="BS20" s="4">
        <f t="shared" si="47"/>
        <v>5.6773879142300192E-2</v>
      </c>
      <c r="BT20" s="4">
        <f t="shared" si="47"/>
        <v>0.35343567251461988</v>
      </c>
      <c r="BU20" s="5">
        <f t="shared" si="41"/>
        <v>7.8621779009746623E-2</v>
      </c>
      <c r="BV20" s="4">
        <f t="shared" ref="BV20:BZ20" si="48">BV7/$BU7</f>
        <v>4.0409640911907636E-2</v>
      </c>
      <c r="BW20" s="4">
        <f t="shared" si="48"/>
        <v>2.8081275887935814E-2</v>
      </c>
      <c r="BX20" s="4">
        <f t="shared" si="48"/>
        <v>0</v>
      </c>
      <c r="BY20" s="4">
        <f t="shared" si="48"/>
        <v>0.7622712892599719</v>
      </c>
      <c r="BZ20" s="4">
        <f t="shared" si="48"/>
        <v>0.16920517921789896</v>
      </c>
      <c r="CA20" s="5">
        <f t="shared" si="26"/>
        <v>0.99999743577251221</v>
      </c>
    </row>
    <row r="21" spans="1:79" x14ac:dyDescent="0.2">
      <c r="A21" t="s">
        <v>164</v>
      </c>
      <c r="B21" s="5">
        <f t="shared" ref="B21:P21" si="49">B8/$CA8</f>
        <v>9.8222359453915886E-2</v>
      </c>
      <c r="C21" s="4">
        <f t="shared" si="15"/>
        <v>5.4704165263276074E-2</v>
      </c>
      <c r="D21" s="4">
        <f t="shared" si="15"/>
        <v>0.41273717300999213</v>
      </c>
      <c r="E21" s="4">
        <f t="shared" si="15"/>
        <v>7.1404513304142811E-2</v>
      </c>
      <c r="F21" s="4">
        <f t="shared" si="15"/>
        <v>3.449534074323566E-2</v>
      </c>
      <c r="G21" s="4">
        <f t="shared" si="15"/>
        <v>0.18075670820702819</v>
      </c>
      <c r="H21" s="4">
        <f t="shared" si="15"/>
        <v>0.11583585943639833</v>
      </c>
      <c r="I21" s="4">
        <f t="shared" si="15"/>
        <v>7.9431907488492198E-3</v>
      </c>
      <c r="J21" s="4">
        <f t="shared" si="15"/>
        <v>1.2546311889525093E-2</v>
      </c>
      <c r="K21" s="4">
        <f t="shared" si="15"/>
        <v>3.6768833501740206E-2</v>
      </c>
      <c r="L21" s="4">
        <f t="shared" si="15"/>
        <v>7.272370046031211E-2</v>
      </c>
      <c r="M21" s="5">
        <f t="shared" si="49"/>
        <v>9.050859045896649E-3</v>
      </c>
      <c r="N21" s="4">
        <f t="shared" ref="N21:O21" si="50">N8/$M8</f>
        <v>0.9887298202863235</v>
      </c>
      <c r="O21" s="4">
        <f t="shared" si="50"/>
        <v>1.1270179713676515E-2</v>
      </c>
      <c r="P21" s="5">
        <f t="shared" si="49"/>
        <v>0.41895855847908076</v>
      </c>
      <c r="Q21" s="4">
        <f t="shared" ref="Q21:Y21" si="51">Q8/$P8</f>
        <v>2.7242577384712571E-3</v>
      </c>
      <c r="R21" s="4">
        <f t="shared" si="51"/>
        <v>7.7845335860181088E-3</v>
      </c>
      <c r="S21" s="4">
        <f t="shared" si="51"/>
        <v>6.5803327016213947E-5</v>
      </c>
      <c r="T21" s="4">
        <f t="shared" si="51"/>
        <v>1.0982575279006106E-2</v>
      </c>
      <c r="U21" s="4">
        <f t="shared" si="51"/>
        <v>1.1318172246788797E-3</v>
      </c>
      <c r="V21" s="4">
        <f t="shared" si="51"/>
        <v>1.8023531269740999E-2</v>
      </c>
      <c r="W21" s="4">
        <f t="shared" si="51"/>
        <v>7.6529269319856813E-3</v>
      </c>
      <c r="X21" s="4">
        <f t="shared" si="51"/>
        <v>0.94801537165719096</v>
      </c>
      <c r="Y21" s="4">
        <f t="shared" si="51"/>
        <v>3.6257633185933879E-3</v>
      </c>
      <c r="Z21" s="5">
        <f t="shared" ref="Z21:BU21" si="52">Z8/$CA8</f>
        <v>0.24486943384574666</v>
      </c>
      <c r="AA21" s="4">
        <f t="shared" ref="AA21:AC21" si="53">AA8/$Z8</f>
        <v>0.48825165219936728</v>
      </c>
      <c r="AB21" s="4">
        <f t="shared" si="53"/>
        <v>8.7310433343466068E-2</v>
      </c>
      <c r="AC21" s="4">
        <f t="shared" si="53"/>
        <v>0.42443791445716667</v>
      </c>
      <c r="AD21" s="5">
        <f t="shared" si="52"/>
        <v>2.0979907809708653E-3</v>
      </c>
      <c r="AE21" s="4">
        <f t="shared" ref="AE21:AG21" si="54">AE8/$AD8</f>
        <v>0.5834428383705651</v>
      </c>
      <c r="AF21" s="4">
        <f t="shared" si="54"/>
        <v>0.37056504599211565</v>
      </c>
      <c r="AG21" s="4">
        <f t="shared" si="54"/>
        <v>4.3363994743758211E-2</v>
      </c>
      <c r="AH21" s="5">
        <f t="shared" si="52"/>
        <v>3.0579387309499127E-2</v>
      </c>
      <c r="AI21" s="4">
        <f t="shared" ref="AI21:AQ21" si="55">AI8/$AH8</f>
        <v>2.0465200144248106E-2</v>
      </c>
      <c r="AJ21" s="4">
        <f t="shared" si="55"/>
        <v>5.7789397764154343E-2</v>
      </c>
      <c r="AK21" s="4">
        <f t="shared" si="55"/>
        <v>8.0598629642985933E-2</v>
      </c>
      <c r="AL21" s="4">
        <f t="shared" si="55"/>
        <v>0.50009015506671473</v>
      </c>
      <c r="AM21" s="4">
        <f t="shared" si="55"/>
        <v>0.1433465560764515</v>
      </c>
      <c r="AN21" s="4">
        <f t="shared" si="55"/>
        <v>2.9751172015867293E-2</v>
      </c>
      <c r="AO21" s="4">
        <f t="shared" si="55"/>
        <v>2.0915975477821855E-2</v>
      </c>
      <c r="AP21" s="4">
        <f t="shared" si="55"/>
        <v>2.8038225748287054E-2</v>
      </c>
      <c r="AQ21" s="4">
        <f t="shared" si="55"/>
        <v>0.11945546339704291</v>
      </c>
      <c r="AR21" s="5">
        <f t="shared" si="52"/>
        <v>4.0548289627489471E-2</v>
      </c>
      <c r="AS21" s="4">
        <f t="shared" ref="AS21:BA21" si="56">AS8/$AR8</f>
        <v>7.6149034539026378E-3</v>
      </c>
      <c r="AT21" s="4">
        <f t="shared" si="56"/>
        <v>1.7677454446559694E-2</v>
      </c>
      <c r="AU21" s="4">
        <f t="shared" si="56"/>
        <v>7.0029915692140328E-3</v>
      </c>
      <c r="AV21" s="4">
        <f t="shared" si="56"/>
        <v>6.3502855588795218E-2</v>
      </c>
      <c r="AW21" s="4">
        <f t="shared" si="56"/>
        <v>1.8765297797117216E-2</v>
      </c>
      <c r="AX21" s="4">
        <f t="shared" si="56"/>
        <v>5.004079412564591E-2</v>
      </c>
      <c r="AY21" s="4">
        <f t="shared" si="56"/>
        <v>6.255099265705738E-2</v>
      </c>
      <c r="AZ21" s="4">
        <f t="shared" si="56"/>
        <v>0.69451998912156654</v>
      </c>
      <c r="BA21" s="4">
        <f t="shared" si="56"/>
        <v>7.8460701658961116E-2</v>
      </c>
      <c r="BB21" s="5">
        <f t="shared" si="52"/>
        <v>4.0465583026399944E-2</v>
      </c>
      <c r="BC21" s="4">
        <f t="shared" ref="BC21:BK21" si="57">BC8/$BB8</f>
        <v>7.2761956669846029E-2</v>
      </c>
      <c r="BD21" s="4">
        <f t="shared" si="57"/>
        <v>0.12052050688104646</v>
      </c>
      <c r="BE21" s="4">
        <f t="shared" si="57"/>
        <v>9.4018258618340372E-3</v>
      </c>
      <c r="BF21" s="4">
        <f t="shared" si="57"/>
        <v>0.1474315301812236</v>
      </c>
      <c r="BG21" s="4">
        <f t="shared" si="57"/>
        <v>8.8567924785393104E-2</v>
      </c>
      <c r="BH21" s="4">
        <f t="shared" si="57"/>
        <v>0.15335876822455374</v>
      </c>
      <c r="BI21" s="4">
        <f t="shared" si="57"/>
        <v>0.13666712086115274</v>
      </c>
      <c r="BJ21" s="4">
        <f t="shared" si="57"/>
        <v>0.10887041831312168</v>
      </c>
      <c r="BK21" s="4">
        <f t="shared" si="57"/>
        <v>0.16262433574056412</v>
      </c>
      <c r="BL21" s="5">
        <f t="shared" si="52"/>
        <v>2.0334796321210383E-2</v>
      </c>
      <c r="BM21" s="4">
        <f t="shared" ref="BM21:BT21" si="58">BM8/$BL8</f>
        <v>2.1827548806941433E-2</v>
      </c>
      <c r="BN21" s="4">
        <f t="shared" si="58"/>
        <v>1.843817787418655E-2</v>
      </c>
      <c r="BO21" s="4">
        <f t="shared" si="58"/>
        <v>1.5184381778741865E-2</v>
      </c>
      <c r="BP21" s="4">
        <f t="shared" si="58"/>
        <v>5.2467462039045551E-2</v>
      </c>
      <c r="BQ21" s="4">
        <f t="shared" si="58"/>
        <v>1.7489154013015186E-2</v>
      </c>
      <c r="BR21" s="4">
        <f t="shared" si="58"/>
        <v>0.47803687635574837</v>
      </c>
      <c r="BS21" s="4">
        <f t="shared" si="58"/>
        <v>5.8568329718004339E-2</v>
      </c>
      <c r="BT21" s="4">
        <f t="shared" si="58"/>
        <v>0.33812364425162689</v>
      </c>
      <c r="BU21" s="5">
        <f t="shared" si="52"/>
        <v>9.4858957676275335E-2</v>
      </c>
      <c r="BV21" s="4">
        <f t="shared" ref="BV21:BZ21" si="59">BV8/$BU8</f>
        <v>3.0893978144617532E-2</v>
      </c>
      <c r="BW21" s="4">
        <f t="shared" si="59"/>
        <v>3.7869100209253659E-2</v>
      </c>
      <c r="BX21" s="4">
        <f t="shared" si="59"/>
        <v>5.8126017205301093E-5</v>
      </c>
      <c r="BY21" s="4">
        <f t="shared" si="59"/>
        <v>0.74087421529876774</v>
      </c>
      <c r="BZ21" s="4">
        <f t="shared" si="59"/>
        <v>0.19039176935596372</v>
      </c>
      <c r="CA21" s="5">
        <f t="shared" si="26"/>
        <v>0.99998621556648515</v>
      </c>
    </row>
    <row r="22" spans="1:79" x14ac:dyDescent="0.2">
      <c r="A22" t="s">
        <v>165</v>
      </c>
      <c r="B22" s="5">
        <f t="shared" ref="B22:P22" si="60">B9/$CA9</f>
        <v>9.5030643781320395E-2</v>
      </c>
      <c r="C22" s="4">
        <f t="shared" si="15"/>
        <v>3.780431786862655E-2</v>
      </c>
      <c r="D22" s="4">
        <f t="shared" si="15"/>
        <v>0.33994028479559024</v>
      </c>
      <c r="E22" s="4">
        <f t="shared" si="15"/>
        <v>6.768488745980708E-2</v>
      </c>
      <c r="F22" s="4">
        <f t="shared" si="15"/>
        <v>2.7721635277905374E-2</v>
      </c>
      <c r="G22" s="4">
        <f t="shared" si="15"/>
        <v>0.32395498392282956</v>
      </c>
      <c r="H22" s="4">
        <f t="shared" si="15"/>
        <v>0.10362884703720716</v>
      </c>
      <c r="I22" s="4">
        <f t="shared" si="15"/>
        <v>7.3036288470372072E-3</v>
      </c>
      <c r="J22" s="4">
        <f t="shared" si="15"/>
        <v>1.0932475884244373E-2</v>
      </c>
      <c r="K22" s="4">
        <f t="shared" si="15"/>
        <v>3.2705558107487369E-2</v>
      </c>
      <c r="L22" s="4">
        <f t="shared" si="15"/>
        <v>4.8346348185576482E-2</v>
      </c>
      <c r="M22" s="5">
        <f t="shared" si="60"/>
        <v>5.506713694539994E-3</v>
      </c>
      <c r="N22" s="4">
        <f t="shared" ref="N22:O22" si="61">N9/$M9</f>
        <v>0.99207292905271505</v>
      </c>
      <c r="O22" s="4">
        <f t="shared" si="61"/>
        <v>8.3234244946492272E-3</v>
      </c>
      <c r="P22" s="5">
        <f t="shared" si="60"/>
        <v>0.43254657680152259</v>
      </c>
      <c r="Q22" s="4">
        <f t="shared" ref="Q22:Y22" si="62">Q9/$P9</f>
        <v>2.5431554301918974E-3</v>
      </c>
      <c r="R22" s="4">
        <f t="shared" si="62"/>
        <v>1.5975456531721322E-2</v>
      </c>
      <c r="S22" s="4">
        <f t="shared" si="62"/>
        <v>5.5505376452600929E-5</v>
      </c>
      <c r="T22" s="4">
        <f t="shared" si="62"/>
        <v>6.7514721539618221E-3</v>
      </c>
      <c r="U22" s="4">
        <f t="shared" si="62"/>
        <v>1.3422209214901679E-3</v>
      </c>
      <c r="V22" s="4">
        <f t="shared" si="62"/>
        <v>2.5638437977787757E-2</v>
      </c>
      <c r="W22" s="4">
        <f t="shared" si="62"/>
        <v>9.8294975754242373E-3</v>
      </c>
      <c r="X22" s="4">
        <f t="shared" si="62"/>
        <v>0.93480641238476325</v>
      </c>
      <c r="Y22" s="4">
        <f t="shared" si="62"/>
        <v>3.0931632514040338E-3</v>
      </c>
      <c r="Z22" s="5">
        <f t="shared" ref="Z22:BU22" si="63">Z9/$CA9</f>
        <v>0.27587042307625148</v>
      </c>
      <c r="AA22" s="4">
        <f t="shared" ref="AA22:AC22" si="64">AA9/$Z9</f>
        <v>0.50242493769532026</v>
      </c>
      <c r="AB22" s="4">
        <f t="shared" si="64"/>
        <v>9.2685628387198862E-2</v>
      </c>
      <c r="AC22" s="4">
        <f t="shared" si="64"/>
        <v>0.40491316903358521</v>
      </c>
      <c r="AD22" s="5">
        <f t="shared" si="63"/>
        <v>2.3681269752579841E-3</v>
      </c>
      <c r="AE22" s="4">
        <f t="shared" ref="AE22:AG22" si="65">AE9/$AD9</f>
        <v>0.61658986175115205</v>
      </c>
      <c r="AF22" s="4">
        <f t="shared" si="65"/>
        <v>0.33179723502304148</v>
      </c>
      <c r="AG22" s="4">
        <f t="shared" si="65"/>
        <v>4.9769585253456219E-2</v>
      </c>
      <c r="AH22" s="5">
        <f t="shared" si="63"/>
        <v>2.1939550557873968E-2</v>
      </c>
      <c r="AI22" s="4">
        <f t="shared" ref="AI22:AQ22" si="66">AI9/$AH9</f>
        <v>2.3776362912853163E-2</v>
      </c>
      <c r="AJ22" s="4">
        <f t="shared" si="66"/>
        <v>8.0382013529645843E-2</v>
      </c>
      <c r="AK22" s="4">
        <f t="shared" si="66"/>
        <v>0.10306406685236769</v>
      </c>
      <c r="AL22" s="4">
        <f t="shared" si="66"/>
        <v>0.36112216474333464</v>
      </c>
      <c r="AM22" s="4">
        <f t="shared" si="66"/>
        <v>0.16543971348985276</v>
      </c>
      <c r="AN22" s="4">
        <f t="shared" si="66"/>
        <v>4.8746518105849582E-2</v>
      </c>
      <c r="AO22" s="4">
        <f t="shared" si="66"/>
        <v>3.6609629924393157E-2</v>
      </c>
      <c r="AP22" s="4">
        <f t="shared" si="66"/>
        <v>3.4321528054118582E-2</v>
      </c>
      <c r="AQ22" s="4">
        <f t="shared" si="66"/>
        <v>0.1466374850775965</v>
      </c>
      <c r="AR22" s="5">
        <f t="shared" si="63"/>
        <v>3.6456059785930049E-2</v>
      </c>
      <c r="AS22" s="4">
        <f t="shared" ref="AS22:BA22" si="67">AS9/$AR9</f>
        <v>9.5791175237981193E-3</v>
      </c>
      <c r="AT22" s="4">
        <f t="shared" si="67"/>
        <v>1.5386457522600731E-2</v>
      </c>
      <c r="AU22" s="4">
        <f t="shared" si="67"/>
        <v>5.7474705142788723E-3</v>
      </c>
      <c r="AV22" s="4">
        <f t="shared" si="67"/>
        <v>5.675627132850386E-2</v>
      </c>
      <c r="AW22" s="4">
        <f t="shared" si="67"/>
        <v>1.9936538346404839E-2</v>
      </c>
      <c r="AX22" s="4">
        <f t="shared" si="67"/>
        <v>3.4125606178530804E-2</v>
      </c>
      <c r="AY22" s="4">
        <f t="shared" si="67"/>
        <v>4.7476501227324434E-2</v>
      </c>
      <c r="AZ22" s="4">
        <f t="shared" si="67"/>
        <v>0.7380710052086451</v>
      </c>
      <c r="BA22" s="4">
        <f t="shared" si="67"/>
        <v>7.3040771118960665E-2</v>
      </c>
      <c r="BB22" s="5">
        <f t="shared" si="63"/>
        <v>3.2145413909308376E-2</v>
      </c>
      <c r="BC22" s="4">
        <f t="shared" ref="BC22:BK22" si="68">BC9/$BB9</f>
        <v>5.9206952743074415E-2</v>
      </c>
      <c r="BD22" s="4">
        <f t="shared" si="68"/>
        <v>0.1139326453014666</v>
      </c>
      <c r="BE22" s="4">
        <f t="shared" si="68"/>
        <v>1.1882129277566539E-2</v>
      </c>
      <c r="BF22" s="4">
        <f t="shared" si="68"/>
        <v>0.15141227593699078</v>
      </c>
      <c r="BG22" s="4">
        <f t="shared" si="68"/>
        <v>9.3427485062466051E-2</v>
      </c>
      <c r="BH22" s="4">
        <f t="shared" si="68"/>
        <v>0.15826996197718632</v>
      </c>
      <c r="BI22" s="4">
        <f t="shared" si="68"/>
        <v>0.15120858229223247</v>
      </c>
      <c r="BJ22" s="4">
        <f t="shared" si="68"/>
        <v>0.12581477457903315</v>
      </c>
      <c r="BK22" s="4">
        <f t="shared" si="68"/>
        <v>0.13498098859315588</v>
      </c>
      <c r="BL22" s="5">
        <f t="shared" si="63"/>
        <v>1.7539417855459132E-2</v>
      </c>
      <c r="BM22" s="4">
        <f t="shared" ref="BM22:BT22" si="69">BM9/$BL9</f>
        <v>2.5261324041811847E-2</v>
      </c>
      <c r="BN22" s="4">
        <f t="shared" si="69"/>
        <v>1.8043802887008461E-2</v>
      </c>
      <c r="BO22" s="4">
        <f t="shared" si="69"/>
        <v>1.4435042309606769E-2</v>
      </c>
      <c r="BP22" s="4">
        <f t="shared" si="69"/>
        <v>5.9731209556993528E-2</v>
      </c>
      <c r="BQ22" s="4">
        <f t="shared" si="69"/>
        <v>1.4808362369337979E-2</v>
      </c>
      <c r="BR22" s="4">
        <f t="shared" si="69"/>
        <v>0.48220507715281236</v>
      </c>
      <c r="BS22" s="4">
        <f t="shared" si="69"/>
        <v>5.6371329019412643E-2</v>
      </c>
      <c r="BT22" s="4">
        <f t="shared" si="69"/>
        <v>0.32926829268292684</v>
      </c>
      <c r="BU22" s="5">
        <f t="shared" si="63"/>
        <v>8.061016919557891E-2</v>
      </c>
      <c r="BV22" s="4">
        <f t="shared" ref="BV22:BZ22" si="70">BV9/$BU9</f>
        <v>4.8439065334524682E-2</v>
      </c>
      <c r="BW22" s="4">
        <f t="shared" si="70"/>
        <v>6.9747921912652638E-2</v>
      </c>
      <c r="BX22" s="4">
        <f t="shared" si="70"/>
        <v>5.4152113286220993E-5</v>
      </c>
      <c r="BY22" s="4">
        <f t="shared" si="70"/>
        <v>0.63035767470825554</v>
      </c>
      <c r="BZ22" s="4">
        <f t="shared" si="70"/>
        <v>0.25134703381799472</v>
      </c>
      <c r="CA22" s="5">
        <f t="shared" si="26"/>
        <v>1.0000130956330429</v>
      </c>
    </row>
    <row r="23" spans="1:79" x14ac:dyDescent="0.2">
      <c r="A23" t="s">
        <v>166</v>
      </c>
      <c r="B23" s="5">
        <f t="shared" ref="B23:P23" si="71">B10/$CA10</f>
        <v>8.9451306273311271E-2</v>
      </c>
      <c r="C23" s="4">
        <f t="shared" si="15"/>
        <v>2.8575731335416587E-2</v>
      </c>
      <c r="D23" s="4">
        <f t="shared" si="15"/>
        <v>0.31248823462972025</v>
      </c>
      <c r="E23" s="4">
        <f t="shared" si="15"/>
        <v>6.3721245435036336E-2</v>
      </c>
      <c r="F23" s="4">
        <f t="shared" si="15"/>
        <v>2.2683633899326081E-2</v>
      </c>
      <c r="G23" s="4">
        <f t="shared" si="15"/>
        <v>0.3891419750762396</v>
      </c>
      <c r="H23" s="4">
        <f t="shared" si="15"/>
        <v>9.4631226233952037E-2</v>
      </c>
      <c r="I23" s="4">
        <f t="shared" si="15"/>
        <v>6.042694175671097E-3</v>
      </c>
      <c r="J23" s="4">
        <f t="shared" si="15"/>
        <v>9.7323142953955055E-3</v>
      </c>
      <c r="K23" s="4">
        <f t="shared" si="15"/>
        <v>3.2359474417378867E-2</v>
      </c>
      <c r="L23" s="4">
        <f t="shared" si="15"/>
        <v>4.0661119686758784E-2</v>
      </c>
      <c r="M23" s="5">
        <f t="shared" si="71"/>
        <v>4.3309506369292681E-3</v>
      </c>
      <c r="N23" s="4">
        <f t="shared" ref="N23:O23" si="72">N10/$M10</f>
        <v>0.99261275272161742</v>
      </c>
      <c r="O23" s="4">
        <f t="shared" si="72"/>
        <v>7.3872472783825813E-3</v>
      </c>
      <c r="P23" s="5">
        <f t="shared" si="71"/>
        <v>0.31706869406346561</v>
      </c>
      <c r="Q23" s="4">
        <f t="shared" ref="Q23:Y23" si="73">Q10/$P10</f>
        <v>2.4110974210817013E-3</v>
      </c>
      <c r="R23" s="4">
        <f t="shared" si="73"/>
        <v>4.1222330798317545E-2</v>
      </c>
      <c r="S23" s="4">
        <f t="shared" si="73"/>
        <v>4.7797085439945615E-5</v>
      </c>
      <c r="T23" s="4">
        <f t="shared" si="73"/>
        <v>8.0883290138930187E-3</v>
      </c>
      <c r="U23" s="4">
        <f t="shared" si="73"/>
        <v>1.6304116922292561E-3</v>
      </c>
      <c r="V23" s="4">
        <f t="shared" si="73"/>
        <v>4.094616986022008E-2</v>
      </c>
      <c r="W23" s="4">
        <f t="shared" si="73"/>
        <v>6.5768789565365166E-2</v>
      </c>
      <c r="X23" s="4">
        <f t="shared" si="73"/>
        <v>0.8361887666227642</v>
      </c>
      <c r="Y23" s="4">
        <f t="shared" si="73"/>
        <v>3.6750647916047076E-3</v>
      </c>
      <c r="Z23" s="5">
        <f t="shared" ref="Z23:BU23" si="74">Z10/$CA10</f>
        <v>0.42321739789346063</v>
      </c>
      <c r="AA23" s="4">
        <f t="shared" ref="AA23:AC23" si="75">AA10/$Z10</f>
        <v>0.56635791416998893</v>
      </c>
      <c r="AB23" s="4">
        <f t="shared" si="75"/>
        <v>6.8995838207325716E-2</v>
      </c>
      <c r="AC23" s="4">
        <f t="shared" si="75"/>
        <v>0.36464624762268533</v>
      </c>
      <c r="AD23" s="5">
        <f t="shared" si="74"/>
        <v>2.8322935347259055E-3</v>
      </c>
      <c r="AE23" s="4">
        <f t="shared" ref="AE23:AG23" si="76">AE10/$AD10</f>
        <v>0.64209274673008321</v>
      </c>
      <c r="AF23" s="4">
        <f t="shared" si="76"/>
        <v>0.31985731272294887</v>
      </c>
      <c r="AG23" s="4">
        <f t="shared" si="76"/>
        <v>3.8049940546967892E-2</v>
      </c>
      <c r="AH23" s="5">
        <f t="shared" si="74"/>
        <v>2.1174846135064367E-2</v>
      </c>
      <c r="AI23" s="4">
        <f t="shared" ref="AI23:AQ23" si="77">AI10/$AH10</f>
        <v>1.94831013916501E-2</v>
      </c>
      <c r="AJ23" s="4">
        <f t="shared" si="77"/>
        <v>0.13320079522862824</v>
      </c>
      <c r="AK23" s="4">
        <f t="shared" si="77"/>
        <v>8.4930417495029817E-2</v>
      </c>
      <c r="AL23" s="4">
        <f t="shared" si="77"/>
        <v>0.34417495029821071</v>
      </c>
      <c r="AM23" s="4">
        <f t="shared" si="77"/>
        <v>0.14059642147117296</v>
      </c>
      <c r="AN23" s="4">
        <f t="shared" si="77"/>
        <v>5.8131212723658052E-2</v>
      </c>
      <c r="AO23" s="4">
        <f t="shared" si="77"/>
        <v>2.4095427435387673E-2</v>
      </c>
      <c r="AP23" s="4">
        <f t="shared" si="77"/>
        <v>3.5864811133200794E-2</v>
      </c>
      <c r="AQ23" s="4">
        <f t="shared" si="77"/>
        <v>0.1596023856858847</v>
      </c>
      <c r="AR23" s="5">
        <f t="shared" si="74"/>
        <v>3.2719557475183757E-2</v>
      </c>
      <c r="AS23" s="4">
        <f t="shared" ref="AS23:BA23" si="78">AS10/$AR10</f>
        <v>7.6166949719520356E-3</v>
      </c>
      <c r="AT23" s="4">
        <f t="shared" si="78"/>
        <v>1.8681488343368843E-2</v>
      </c>
      <c r="AU23" s="4">
        <f t="shared" si="78"/>
        <v>4.9405589007256445E-3</v>
      </c>
      <c r="AV23" s="4">
        <f t="shared" si="78"/>
        <v>5.218465338891462E-2</v>
      </c>
      <c r="AW23" s="4">
        <f t="shared" si="78"/>
        <v>1.8321239256857597E-2</v>
      </c>
      <c r="AX23" s="4">
        <f t="shared" si="78"/>
        <v>3.1084349750398848E-2</v>
      </c>
      <c r="AY23" s="4">
        <f t="shared" si="78"/>
        <v>6.896196798929545E-2</v>
      </c>
      <c r="AZ23" s="4">
        <f t="shared" si="78"/>
        <v>0.72451237712932948</v>
      </c>
      <c r="BA23" s="4">
        <f t="shared" si="78"/>
        <v>7.3593741958725742E-2</v>
      </c>
      <c r="BB23" s="5">
        <f t="shared" si="74"/>
        <v>2.7811034494371615E-2</v>
      </c>
      <c r="BC23" s="4">
        <f t="shared" ref="BC23:BK23" si="79">BC10/$BB10</f>
        <v>6.218212642286268E-2</v>
      </c>
      <c r="BD23" s="4">
        <f t="shared" si="79"/>
        <v>0.11570598207798498</v>
      </c>
      <c r="BE23" s="4">
        <f t="shared" si="79"/>
        <v>1.5742310486800679E-2</v>
      </c>
      <c r="BF23" s="4">
        <f t="shared" si="79"/>
        <v>0.15070234923710341</v>
      </c>
      <c r="BG23" s="4">
        <f t="shared" si="79"/>
        <v>9.3545652700411722E-2</v>
      </c>
      <c r="BH23" s="4">
        <f t="shared" si="79"/>
        <v>0.14149915233712762</v>
      </c>
      <c r="BI23" s="4">
        <f t="shared" si="79"/>
        <v>0.16299346088641317</v>
      </c>
      <c r="BJ23" s="4">
        <f t="shared" si="79"/>
        <v>0.12188181157665294</v>
      </c>
      <c r="BK23" s="4">
        <f t="shared" si="79"/>
        <v>0.13592879631872123</v>
      </c>
      <c r="BL23" s="5">
        <f t="shared" si="74"/>
        <v>1.5284618558089802E-2</v>
      </c>
      <c r="BM23" s="4">
        <f t="shared" ref="BM23:BT23" si="80">BM10/$BL10</f>
        <v>1.9279497631376007E-2</v>
      </c>
      <c r="BN23" s="4">
        <f t="shared" si="80"/>
        <v>1.828798061033381E-2</v>
      </c>
      <c r="BO23" s="4">
        <f t="shared" si="80"/>
        <v>2.2143880136609013E-2</v>
      </c>
      <c r="BP23" s="4">
        <f t="shared" si="80"/>
        <v>7.1499394072931585E-2</v>
      </c>
      <c r="BQ23" s="4">
        <f t="shared" si="80"/>
        <v>1.5533766662994381E-2</v>
      </c>
      <c r="BR23" s="4">
        <f t="shared" si="80"/>
        <v>0.48573317175278174</v>
      </c>
      <c r="BS23" s="4">
        <f t="shared" si="80"/>
        <v>5.5745290294150047E-2</v>
      </c>
      <c r="BT23" s="4">
        <f t="shared" si="80"/>
        <v>0.31221769307039771</v>
      </c>
      <c r="BU23" s="5">
        <f t="shared" si="74"/>
        <v>6.610088151347529E-2</v>
      </c>
      <c r="BV23" s="4">
        <f t="shared" ref="BV23:BZ23" si="81">BV10/$BU10</f>
        <v>1.9462488854922941E-2</v>
      </c>
      <c r="BW23" s="4">
        <f t="shared" si="81"/>
        <v>7.7595210801171821E-2</v>
      </c>
      <c r="BX23" s="4">
        <f t="shared" si="81"/>
        <v>2.292701566679404E-4</v>
      </c>
      <c r="BY23" s="4">
        <f t="shared" si="81"/>
        <v>0.59900649598777223</v>
      </c>
      <c r="BZ23" s="4">
        <f t="shared" si="81"/>
        <v>0.30368105973761306</v>
      </c>
      <c r="CA23" s="5">
        <f t="shared" si="26"/>
        <v>0.99999158057807747</v>
      </c>
    </row>
    <row r="24" spans="1:79" x14ac:dyDescent="0.2">
      <c r="A24" t="s">
        <v>167</v>
      </c>
      <c r="B24" s="5">
        <f t="shared" ref="B24:P24" si="82">B11/$CA11</f>
        <v>9.800706379794602E-2</v>
      </c>
      <c r="C24" s="4">
        <f t="shared" si="15"/>
        <v>2.2575754808307001E-2</v>
      </c>
      <c r="D24" s="4">
        <f t="shared" si="15"/>
        <v>0.32508356317010356</v>
      </c>
      <c r="E24" s="4">
        <f t="shared" si="15"/>
        <v>5.4795521379385925E-2</v>
      </c>
      <c r="F24" s="4">
        <f t="shared" si="15"/>
        <v>2.4584923925551151E-2</v>
      </c>
      <c r="G24" s="4">
        <f t="shared" si="15"/>
        <v>0.37677400500465763</v>
      </c>
      <c r="H24" s="4">
        <f t="shared" si="15"/>
        <v>0.10760013881532082</v>
      </c>
      <c r="I24" s="4">
        <f t="shared" si="15"/>
        <v>5.4247566165592067E-3</v>
      </c>
      <c r="J24" s="4">
        <f t="shared" si="15"/>
        <v>9.2969734607024779E-3</v>
      </c>
      <c r="K24" s="4">
        <f t="shared" si="15"/>
        <v>3.1726606878664451E-2</v>
      </c>
      <c r="L24" s="4">
        <f t="shared" si="15"/>
        <v>4.2265612157299674E-2</v>
      </c>
      <c r="M24" s="5">
        <f t="shared" si="82"/>
        <v>4.561215703614065E-3</v>
      </c>
      <c r="N24" s="4">
        <f t="shared" ref="N24:O24" si="83">N11/$M11</f>
        <v>0.99058084772370492</v>
      </c>
      <c r="O24" s="4">
        <f t="shared" si="83"/>
        <v>9.4191522762951327E-3</v>
      </c>
      <c r="P24" s="5">
        <f t="shared" si="82"/>
        <v>0.36332374427834158</v>
      </c>
      <c r="Q24" s="4">
        <f t="shared" ref="Q24:Y24" si="84">Q11/$P11</f>
        <v>2.222101783101187E-3</v>
      </c>
      <c r="R24" s="4">
        <f t="shared" si="84"/>
        <v>2.7138218672552856E-2</v>
      </c>
      <c r="S24" s="4">
        <f t="shared" si="84"/>
        <v>6.8978769320214225E-5</v>
      </c>
      <c r="T24" s="4">
        <f t="shared" si="84"/>
        <v>7.0703238553219581E-3</v>
      </c>
      <c r="U24" s="4">
        <f t="shared" si="84"/>
        <v>1.0001921551431063E-3</v>
      </c>
      <c r="V24" s="4">
        <f t="shared" si="84"/>
        <v>3.6494696025344768E-2</v>
      </c>
      <c r="W24" s="4">
        <f t="shared" si="84"/>
        <v>9.3885032099763011E-2</v>
      </c>
      <c r="X24" s="4">
        <f t="shared" si="84"/>
        <v>0.82894250619577159</v>
      </c>
      <c r="Y24" s="4">
        <f t="shared" si="84"/>
        <v>3.2025857184385179E-3</v>
      </c>
      <c r="Z24" s="5">
        <f t="shared" ref="Z24:BU24" si="85">Z11/$CA11</f>
        <v>0.35005540409184727</v>
      </c>
      <c r="AA24" s="4">
        <f t="shared" ref="AA24:AC24" si="86">AA11/$Z11</f>
        <v>0.52841487299858347</v>
      </c>
      <c r="AB24" s="4">
        <f t="shared" si="86"/>
        <v>8.0593610808544144E-2</v>
      </c>
      <c r="AC24" s="4">
        <f t="shared" si="86"/>
        <v>0.39098128857728753</v>
      </c>
      <c r="AD24" s="5">
        <f t="shared" si="85"/>
        <v>2.8802967296369824E-3</v>
      </c>
      <c r="AE24" s="4">
        <f t="shared" ref="AE24:AG24" si="87">AE11/$AD11</f>
        <v>0.65444375388440024</v>
      </c>
      <c r="AF24" s="4">
        <f t="shared" si="87"/>
        <v>0.2610316967060286</v>
      </c>
      <c r="AG24" s="4">
        <f t="shared" si="87"/>
        <v>8.4524549409571159E-2</v>
      </c>
      <c r="AH24" s="5">
        <f t="shared" si="85"/>
        <v>2.0557692755221322E-2</v>
      </c>
      <c r="AI24" s="4">
        <f t="shared" ref="AI24:AQ24" si="88">AI11/$AH11</f>
        <v>1.9244165795889934E-2</v>
      </c>
      <c r="AJ24" s="4">
        <f t="shared" si="88"/>
        <v>0.11006617903169627</v>
      </c>
      <c r="AK24" s="4">
        <f t="shared" si="88"/>
        <v>8.0111459421804254E-2</v>
      </c>
      <c r="AL24" s="4">
        <f t="shared" si="88"/>
        <v>0.41396725879484503</v>
      </c>
      <c r="AM24" s="4">
        <f t="shared" si="88"/>
        <v>0.14681295715778475</v>
      </c>
      <c r="AN24" s="4">
        <f t="shared" si="88"/>
        <v>2.9432253570184606E-2</v>
      </c>
      <c r="AO24" s="4">
        <f t="shared" si="88"/>
        <v>2.4120515499825846E-2</v>
      </c>
      <c r="AP24" s="4">
        <f t="shared" si="88"/>
        <v>3.3524904214559385E-2</v>
      </c>
      <c r="AQ24" s="4">
        <f t="shared" si="88"/>
        <v>0.14306861720654823</v>
      </c>
      <c r="AR24" s="5">
        <f t="shared" si="85"/>
        <v>3.4651276442251751E-2</v>
      </c>
      <c r="AS24" s="4">
        <f t="shared" ref="AS24:BA24" si="89">AS11/$AR11</f>
        <v>5.6310378674381363E-3</v>
      </c>
      <c r="AT24" s="4">
        <f t="shared" si="89"/>
        <v>2.0509376452962753E-2</v>
      </c>
      <c r="AU24" s="4">
        <f t="shared" si="89"/>
        <v>5.0627679909076816E-3</v>
      </c>
      <c r="AV24" s="4">
        <f t="shared" si="89"/>
        <v>4.5874877305367566E-2</v>
      </c>
      <c r="AW24" s="4">
        <f t="shared" si="89"/>
        <v>1.880456682337139E-2</v>
      </c>
      <c r="AX24" s="4">
        <f t="shared" si="89"/>
        <v>4.4118406777909798E-2</v>
      </c>
      <c r="AY24" s="4">
        <f t="shared" si="89"/>
        <v>6.4886087720204572E-2</v>
      </c>
      <c r="AZ24" s="4">
        <f t="shared" si="89"/>
        <v>0.72066952523634864</v>
      </c>
      <c r="BA24" s="4">
        <f t="shared" si="89"/>
        <v>7.4495014723355887E-2</v>
      </c>
      <c r="BB24" s="5">
        <f t="shared" si="85"/>
        <v>3.3303319054174281E-2</v>
      </c>
      <c r="BC24" s="4">
        <f t="shared" ref="BC24:BK24" si="90">BC11/$BB11</f>
        <v>7.0038701354547414E-2</v>
      </c>
      <c r="BD24" s="4">
        <f t="shared" si="90"/>
        <v>0.11357772522038272</v>
      </c>
      <c r="BE24" s="4">
        <f t="shared" si="90"/>
        <v>1.4620511717910126E-2</v>
      </c>
      <c r="BF24" s="4">
        <f t="shared" si="90"/>
        <v>0.1636207267254354</v>
      </c>
      <c r="BG24" s="4">
        <f t="shared" si="90"/>
        <v>8.0036551279294779E-2</v>
      </c>
      <c r="BH24" s="4">
        <f t="shared" si="90"/>
        <v>0.14389378628251989</v>
      </c>
      <c r="BI24" s="4">
        <f t="shared" si="90"/>
        <v>0.15878305740700924</v>
      </c>
      <c r="BJ24" s="4">
        <f t="shared" si="90"/>
        <v>0.1171791012685444</v>
      </c>
      <c r="BK24" s="4">
        <f t="shared" si="90"/>
        <v>0.13835734250698775</v>
      </c>
      <c r="BL24" s="5">
        <f t="shared" si="85"/>
        <v>1.8826650531753975E-2</v>
      </c>
      <c r="BM24" s="4">
        <f t="shared" ref="BM24:BT24" si="91">BM11/$BL11</f>
        <v>1.6164305410288106E-2</v>
      </c>
      <c r="BN24" s="4">
        <f t="shared" si="91"/>
        <v>1.7875820100789197E-2</v>
      </c>
      <c r="BO24" s="4">
        <f t="shared" si="91"/>
        <v>1.7875820100789197E-2</v>
      </c>
      <c r="BP24" s="4">
        <f t="shared" si="91"/>
        <v>6.712940952743178E-2</v>
      </c>
      <c r="BQ24" s="4">
        <f t="shared" si="91"/>
        <v>1.7210231054483216E-2</v>
      </c>
      <c r="BR24" s="4">
        <f t="shared" si="91"/>
        <v>0.46315489207949034</v>
      </c>
      <c r="BS24" s="4">
        <f t="shared" si="91"/>
        <v>5.4768470096034992E-2</v>
      </c>
      <c r="BT24" s="4">
        <f t="shared" si="91"/>
        <v>0.34572596748122086</v>
      </c>
      <c r="BU24" s="5">
        <f t="shared" si="85"/>
        <v>7.3836916847319217E-2</v>
      </c>
      <c r="BV24" s="4">
        <f t="shared" ref="BV24:BZ24" si="92">BV11/$BU11</f>
        <v>1.4837442723107134E-2</v>
      </c>
      <c r="BW24" s="4">
        <f t="shared" si="92"/>
        <v>4.8755060974131452E-2</v>
      </c>
      <c r="BX24" s="4">
        <f t="shared" si="92"/>
        <v>2.666860620166315E-4</v>
      </c>
      <c r="BY24" s="4">
        <f t="shared" si="92"/>
        <v>0.68737120275413965</v>
      </c>
      <c r="BZ24" s="4">
        <f t="shared" si="92"/>
        <v>0.24867263073678086</v>
      </c>
      <c r="CA24" s="5">
        <f t="shared" si="26"/>
        <v>1.0000035802321063</v>
      </c>
    </row>
    <row r="25" spans="1:79" x14ac:dyDescent="0.2">
      <c r="A25" t="s">
        <v>247</v>
      </c>
      <c r="B25" s="5">
        <f t="shared" ref="B25:P25" si="93">B12/$CA12</f>
        <v>0.10167065454763503</v>
      </c>
      <c r="C25" s="4">
        <f t="shared" si="15"/>
        <v>2.1251093946196873E-2</v>
      </c>
      <c r="D25" s="4">
        <f t="shared" si="15"/>
        <v>0.40555914919523611</v>
      </c>
      <c r="E25" s="4">
        <f t="shared" si="15"/>
        <v>6.5161143031087096E-2</v>
      </c>
      <c r="F25" s="4">
        <f t="shared" si="15"/>
        <v>2.3191659373692022E-2</v>
      </c>
      <c r="G25" s="4">
        <f t="shared" si="15"/>
        <v>0.26153875423309614</v>
      </c>
      <c r="H25" s="4">
        <f t="shared" si="15"/>
        <v>0.13445074388341388</v>
      </c>
      <c r="I25" s="4">
        <f t="shared" si="15"/>
        <v>5.6694950724858265E-3</v>
      </c>
      <c r="J25" s="4">
        <f t="shared" si="15"/>
        <v>1.0444808036223888E-2</v>
      </c>
      <c r="K25" s="4">
        <f t="shared" si="15"/>
        <v>2.9926562916175185E-2</v>
      </c>
      <c r="L25" s="4">
        <f t="shared" si="15"/>
        <v>4.2863665766142839E-2</v>
      </c>
      <c r="M25" s="5">
        <f t="shared" si="93"/>
        <v>6.1491383662518884E-3</v>
      </c>
      <c r="N25" s="4">
        <f t="shared" ref="N25:O25" si="94">N12/$M12</f>
        <v>0.99370871343189682</v>
      </c>
      <c r="O25" s="4">
        <f t="shared" si="94"/>
        <v>6.2912865681031774E-3</v>
      </c>
      <c r="P25" s="5">
        <f t="shared" si="93"/>
        <v>0.34737699305393022</v>
      </c>
      <c r="Q25" s="4">
        <f t="shared" ref="Q25:Y25" si="95">Q12/$P12</f>
        <v>2.9623360135421074E-3</v>
      </c>
      <c r="R25" s="4">
        <f t="shared" si="95"/>
        <v>2.7869345390560615E-2</v>
      </c>
      <c r="S25" s="4">
        <f t="shared" si="95"/>
        <v>1.1136601554669577E-4</v>
      </c>
      <c r="T25" s="4">
        <f t="shared" si="95"/>
        <v>7.9292603069247396E-3</v>
      </c>
      <c r="U25" s="4">
        <f t="shared" si="95"/>
        <v>1.3475287881150187E-3</v>
      </c>
      <c r="V25" s="4">
        <f t="shared" si="95"/>
        <v>3.6182818451121458E-2</v>
      </c>
      <c r="W25" s="4">
        <f t="shared" si="95"/>
        <v>2.8604361093168808E-2</v>
      </c>
      <c r="X25" s="4">
        <f t="shared" si="95"/>
        <v>0.8914849544512996</v>
      </c>
      <c r="Y25" s="4">
        <f t="shared" si="95"/>
        <v>3.5358709936075907E-3</v>
      </c>
      <c r="Z25" s="5">
        <f t="shared" ref="Z25:BU25" si="96">Z12/$CA12</f>
        <v>0.33045960892331083</v>
      </c>
      <c r="AA25" s="4">
        <f t="shared" ref="AA25:AC25" si="97">AA12/$Z12</f>
        <v>0.50014048067805339</v>
      </c>
      <c r="AB25" s="4">
        <f t="shared" si="97"/>
        <v>9.1973870593882068E-2</v>
      </c>
      <c r="AC25" s="4">
        <f t="shared" si="97"/>
        <v>0.40787394200489341</v>
      </c>
      <c r="AD25" s="5">
        <f t="shared" si="96"/>
        <v>2.7022165138892379E-3</v>
      </c>
      <c r="AE25" s="4">
        <f t="shared" ref="AE25:AG25" si="98">AE12/$AD12</f>
        <v>0.61918396564065858</v>
      </c>
      <c r="AF25" s="4">
        <f t="shared" si="98"/>
        <v>0.29778095919828201</v>
      </c>
      <c r="AG25" s="4">
        <f t="shared" si="98"/>
        <v>8.4466714387974234E-2</v>
      </c>
      <c r="AH25" s="5">
        <f t="shared" si="96"/>
        <v>2.3737724451287568E-2</v>
      </c>
      <c r="AI25" s="4">
        <f t="shared" ref="AI25:AQ25" si="99">AI12/$AH12</f>
        <v>1.751955671447197E-2</v>
      </c>
      <c r="AJ25" s="4">
        <f t="shared" si="99"/>
        <v>7.7086049543676663E-2</v>
      </c>
      <c r="AK25" s="4">
        <f t="shared" si="99"/>
        <v>9.4687092568448497E-2</v>
      </c>
      <c r="AL25" s="4">
        <f t="shared" si="99"/>
        <v>0.43896675358539766</v>
      </c>
      <c r="AM25" s="4">
        <f t="shared" si="99"/>
        <v>0.13893415906127771</v>
      </c>
      <c r="AN25" s="4">
        <f t="shared" si="99"/>
        <v>3.5609517601043028E-2</v>
      </c>
      <c r="AO25" s="4">
        <f t="shared" si="99"/>
        <v>2.3956975228161669E-2</v>
      </c>
      <c r="AP25" s="4">
        <f t="shared" si="99"/>
        <v>3.3572359843546284E-2</v>
      </c>
      <c r="AQ25" s="4">
        <f t="shared" si="99"/>
        <v>0.13999348109517601</v>
      </c>
      <c r="AR25" s="5">
        <f t="shared" si="96"/>
        <v>3.9682155892940385E-2</v>
      </c>
      <c r="AS25" s="4">
        <f t="shared" ref="AS25:BA25" si="100">AS12/$AR12</f>
        <v>5.4594199366317332E-3</v>
      </c>
      <c r="AT25" s="4">
        <f t="shared" si="100"/>
        <v>1.6134535705581283E-2</v>
      </c>
      <c r="AU25" s="4">
        <f t="shared" si="100"/>
        <v>4.728247623689983E-3</v>
      </c>
      <c r="AV25" s="4">
        <f t="shared" si="100"/>
        <v>4.3431635388739946E-2</v>
      </c>
      <c r="AW25" s="4">
        <f t="shared" si="100"/>
        <v>1.9107969778211064E-2</v>
      </c>
      <c r="AX25" s="4">
        <f t="shared" si="100"/>
        <v>2.8759444309042165E-2</v>
      </c>
      <c r="AY25" s="4">
        <f t="shared" si="100"/>
        <v>6.4928101389227388E-2</v>
      </c>
      <c r="AZ25" s="4">
        <f t="shared" si="100"/>
        <v>0.74550329027540829</v>
      </c>
      <c r="BA25" s="4">
        <f t="shared" si="100"/>
        <v>7.1947355593468196E-2</v>
      </c>
      <c r="BB25" s="5">
        <f t="shared" si="96"/>
        <v>3.9622192605946426E-2</v>
      </c>
      <c r="BC25" s="4">
        <f t="shared" ref="BC25:BK25" si="101">BC12/$BB12</f>
        <v>6.7223198594024605E-2</v>
      </c>
      <c r="BD25" s="4">
        <f t="shared" si="101"/>
        <v>0.11452841241944933</v>
      </c>
      <c r="BE25" s="4">
        <f t="shared" si="101"/>
        <v>1.3962116774067565E-2</v>
      </c>
      <c r="BF25" s="4">
        <f t="shared" si="101"/>
        <v>0.15255809412224175</v>
      </c>
      <c r="BG25" s="4">
        <f t="shared" si="101"/>
        <v>7.7133372388205432E-2</v>
      </c>
      <c r="BH25" s="4">
        <f t="shared" si="101"/>
        <v>0.14269673891818005</v>
      </c>
      <c r="BI25" s="4">
        <f t="shared" si="101"/>
        <v>0.15714704159343879</v>
      </c>
      <c r="BJ25" s="4">
        <f t="shared" si="101"/>
        <v>0.11028119507908611</v>
      </c>
      <c r="BK25" s="4">
        <f t="shared" si="101"/>
        <v>0.16486037883225932</v>
      </c>
      <c r="BL25" s="5">
        <f t="shared" si="96"/>
        <v>2.1227003595862919E-2</v>
      </c>
      <c r="BM25" s="4">
        <f t="shared" ref="BM25:BT25" si="102">BM12/$BL12</f>
        <v>1.7404774922544195E-2</v>
      </c>
      <c r="BN25" s="4">
        <f t="shared" si="102"/>
        <v>1.5400036449790414E-2</v>
      </c>
      <c r="BO25" s="4">
        <f t="shared" si="102"/>
        <v>1.6220156734098778E-2</v>
      </c>
      <c r="BP25" s="4">
        <f t="shared" si="102"/>
        <v>7.0439219974485143E-2</v>
      </c>
      <c r="BQ25" s="4">
        <f t="shared" si="102"/>
        <v>1.7404774922544195E-2</v>
      </c>
      <c r="BR25" s="4">
        <f t="shared" si="102"/>
        <v>0.37187898669582647</v>
      </c>
      <c r="BS25" s="4">
        <f t="shared" si="102"/>
        <v>5.5677054856934576E-2</v>
      </c>
      <c r="BT25" s="4">
        <f t="shared" si="102"/>
        <v>0.43530162201567341</v>
      </c>
      <c r="BU25" s="5">
        <f t="shared" si="96"/>
        <v>8.7370377749365069E-2</v>
      </c>
      <c r="BV25" s="4">
        <f t="shared" ref="BV25:BZ25" si="103">BV12/$BU12</f>
        <v>1.2508578892603334E-2</v>
      </c>
      <c r="BW25" s="4">
        <f t="shared" si="103"/>
        <v>2.9666364099271623E-2</v>
      </c>
      <c r="BX25" s="4">
        <f t="shared" si="103"/>
        <v>5.091987867785428E-4</v>
      </c>
      <c r="BY25" s="4">
        <f t="shared" si="103"/>
        <v>0.79043149062410056</v>
      </c>
      <c r="BZ25" s="4">
        <f t="shared" si="103"/>
        <v>0.16684008944187384</v>
      </c>
      <c r="CA25" s="5">
        <f t="shared" si="26"/>
        <v>0.99999806570041949</v>
      </c>
    </row>
    <row r="26" spans="1:79" x14ac:dyDescent="0.2">
      <c r="A26" t="s">
        <v>248</v>
      </c>
      <c r="B26" s="5">
        <f t="shared" ref="B26:P26" si="104">B13/$CA13</f>
        <v>0.118606838489155</v>
      </c>
      <c r="C26" s="4">
        <f t="shared" si="15"/>
        <v>2.0937092016827041E-2</v>
      </c>
      <c r="D26" s="4">
        <f t="shared" si="15"/>
        <v>0.43867962542107891</v>
      </c>
      <c r="E26" s="4">
        <f t="shared" si="15"/>
        <v>5.7411795045371757E-2</v>
      </c>
      <c r="F26" s="4">
        <f t="shared" si="15"/>
        <v>2.5595151749593023E-2</v>
      </c>
      <c r="G26" s="4">
        <f t="shared" si="15"/>
        <v>0.26060957722869621</v>
      </c>
      <c r="H26" s="4">
        <f t="shared" si="15"/>
        <v>0.11737021098270554</v>
      </c>
      <c r="I26" s="4">
        <f t="shared" si="15"/>
        <v>4.2389955353545122E-3</v>
      </c>
      <c r="J26" s="4">
        <f t="shared" si="15"/>
        <v>1.0186483567848105E-2</v>
      </c>
      <c r="K26" s="4">
        <f t="shared" si="15"/>
        <v>2.5498444627113453E-2</v>
      </c>
      <c r="L26" s="4">
        <f t="shared" si="15"/>
        <v>3.9456505971664814E-2</v>
      </c>
      <c r="M26" s="5">
        <f t="shared" si="104"/>
        <v>5.8612344149662201E-3</v>
      </c>
      <c r="N26" s="4">
        <f t="shared" ref="N26:O26" si="105">N13/$M13</f>
        <v>0.98140900195694714</v>
      </c>
      <c r="O26" s="4">
        <f t="shared" si="105"/>
        <v>1.8917155903457272E-2</v>
      </c>
      <c r="P26" s="5">
        <f t="shared" si="104"/>
        <v>0.34534829037771125</v>
      </c>
      <c r="Q26" s="4">
        <f t="shared" ref="Q26:Y26" si="106">Q13/$P13</f>
        <v>3.02240231163957E-3</v>
      </c>
      <c r="R26" s="4">
        <f t="shared" si="106"/>
        <v>2.5552031264703765E-2</v>
      </c>
      <c r="S26" s="4">
        <f t="shared" si="106"/>
        <v>1.6606606107909727E-4</v>
      </c>
      <c r="T26" s="4">
        <f t="shared" si="106"/>
        <v>8.4195492967102312E-3</v>
      </c>
      <c r="U26" s="4">
        <f t="shared" si="106"/>
        <v>1.5167366911890883E-3</v>
      </c>
      <c r="V26" s="4">
        <f t="shared" si="106"/>
        <v>3.3506595590392527E-2</v>
      </c>
      <c r="W26" s="4">
        <f t="shared" si="106"/>
        <v>2.6919308500921668E-2</v>
      </c>
      <c r="X26" s="4">
        <f t="shared" si="106"/>
        <v>0.89694493802968156</v>
      </c>
      <c r="Y26" s="4">
        <f t="shared" si="106"/>
        <v>3.935765647574605E-3</v>
      </c>
      <c r="Z26" s="5">
        <f t="shared" ref="Z26:BU26" si="107">Z13/$CA13</f>
        <v>0.26798229012536851</v>
      </c>
      <c r="AA26" s="4">
        <f t="shared" ref="AA26:AC26" si="108">AA13/$Z13</f>
        <v>0.45996247708319959</v>
      </c>
      <c r="AB26" s="4">
        <f t="shared" si="108"/>
        <v>0.10120487084554969</v>
      </c>
      <c r="AC26" s="4">
        <f t="shared" si="108"/>
        <v>0.43881125116813263</v>
      </c>
      <c r="AD26" s="5">
        <f t="shared" si="107"/>
        <v>3.4525079430622941E-3</v>
      </c>
      <c r="AE26" s="4">
        <f t="shared" ref="AE26:AG26" si="109">AE13/$AD13</f>
        <v>0.45570321151716503</v>
      </c>
      <c r="AF26" s="4">
        <f t="shared" si="109"/>
        <v>0.29291251384274641</v>
      </c>
      <c r="AG26" s="4">
        <f t="shared" si="109"/>
        <v>0.25193798449612403</v>
      </c>
      <c r="AH26" s="5">
        <f t="shared" si="107"/>
        <v>2.3209800075702832E-2</v>
      </c>
      <c r="AI26" s="4">
        <f t="shared" ref="AI26:AQ26" si="110">AI13/$AH13</f>
        <v>2.0673750102956922E-2</v>
      </c>
      <c r="AJ26" s="4">
        <f t="shared" si="110"/>
        <v>8.6483815171732148E-2</v>
      </c>
      <c r="AK26" s="4">
        <f t="shared" si="110"/>
        <v>8.6730911786508519E-2</v>
      </c>
      <c r="AL26" s="4">
        <f t="shared" si="110"/>
        <v>0.42319413557367597</v>
      </c>
      <c r="AM26" s="4">
        <f t="shared" si="110"/>
        <v>0.13302034428794993</v>
      </c>
      <c r="AN26" s="4">
        <f t="shared" si="110"/>
        <v>5.4855448480355819E-2</v>
      </c>
      <c r="AO26" s="4">
        <f t="shared" si="110"/>
        <v>2.3144716250720697E-2</v>
      </c>
      <c r="AP26" s="4">
        <f t="shared" si="110"/>
        <v>3.4840622683469234E-2</v>
      </c>
      <c r="AQ26" s="4">
        <f t="shared" si="110"/>
        <v>0.13680915904785437</v>
      </c>
      <c r="AR26" s="5">
        <f t="shared" si="107"/>
        <v>4.3431632313639126E-2</v>
      </c>
      <c r="AS26" s="4">
        <f t="shared" ref="AS26:BA26" si="111">AS13/$AR13</f>
        <v>4.7537303578502575E-3</v>
      </c>
      <c r="AT26" s="4">
        <f t="shared" si="111"/>
        <v>1.5185527532021657E-2</v>
      </c>
      <c r="AU26" s="4">
        <f t="shared" si="111"/>
        <v>3.3892336810599057E-3</v>
      </c>
      <c r="AV26" s="4">
        <f t="shared" si="111"/>
        <v>3.8337955015625688E-2</v>
      </c>
      <c r="AW26" s="4">
        <f t="shared" si="111"/>
        <v>1.6506008186980062E-2</v>
      </c>
      <c r="AX26" s="4">
        <f t="shared" si="111"/>
        <v>2.1127690479334479E-2</v>
      </c>
      <c r="AY26" s="4">
        <f t="shared" si="111"/>
        <v>4.6392887010871957E-2</v>
      </c>
      <c r="AZ26" s="4">
        <f t="shared" si="111"/>
        <v>0.7897794797306219</v>
      </c>
      <c r="BA26" s="4">
        <f t="shared" si="111"/>
        <v>6.448347198380211E-2</v>
      </c>
      <c r="BB26" s="5">
        <f t="shared" si="107"/>
        <v>4.2458583286496987E-2</v>
      </c>
      <c r="BC26" s="4">
        <f t="shared" ref="BC26:BK26" si="112">BC13/$BB13</f>
        <v>7.1949572264745604E-2</v>
      </c>
      <c r="BD26" s="4">
        <f t="shared" si="112"/>
        <v>0.10877982890589824</v>
      </c>
      <c r="BE26" s="4">
        <f t="shared" si="112"/>
        <v>1.1166141377757767E-2</v>
      </c>
      <c r="BF26" s="4">
        <f t="shared" si="112"/>
        <v>0.1464655560558307</v>
      </c>
      <c r="BG26" s="4">
        <f t="shared" si="112"/>
        <v>8.5006753714542999E-2</v>
      </c>
      <c r="BH26" s="4">
        <f t="shared" si="112"/>
        <v>0.14570013507429086</v>
      </c>
      <c r="BI26" s="4">
        <f t="shared" si="112"/>
        <v>0.1470508779828906</v>
      </c>
      <c r="BJ26" s="4">
        <f t="shared" si="112"/>
        <v>0.11814497973885638</v>
      </c>
      <c r="BK26" s="4">
        <f t="shared" si="112"/>
        <v>0.16591625393966683</v>
      </c>
      <c r="BL26" s="5">
        <f t="shared" si="107"/>
        <v>2.2678350901743076E-2</v>
      </c>
      <c r="BM26" s="4">
        <f t="shared" ref="BM26:BT26" si="113">BM13/$BL13</f>
        <v>1.6016184776194892E-2</v>
      </c>
      <c r="BN26" s="4">
        <f t="shared" si="113"/>
        <v>1.4583157717272191E-2</v>
      </c>
      <c r="BO26" s="4">
        <f t="shared" si="113"/>
        <v>1.5426114810756132E-2</v>
      </c>
      <c r="BP26" s="4">
        <f t="shared" si="113"/>
        <v>6.524487903565708E-2</v>
      </c>
      <c r="BQ26" s="4">
        <f t="shared" si="113"/>
        <v>1.576329764814971E-2</v>
      </c>
      <c r="BR26" s="4">
        <f t="shared" si="113"/>
        <v>0.36188148023265615</v>
      </c>
      <c r="BS26" s="4">
        <f t="shared" si="113"/>
        <v>5.5550872460591753E-2</v>
      </c>
      <c r="BT26" s="4">
        <f t="shared" si="113"/>
        <v>0.4551125347719801</v>
      </c>
      <c r="BU26" s="5">
        <f t="shared" si="107"/>
        <v>0.12696282532145028</v>
      </c>
      <c r="BV26" s="4">
        <f t="shared" ref="BV26:BZ26" si="114">BV13/$BU13</f>
        <v>6.6100520974493333E-3</v>
      </c>
      <c r="BW26" s="4">
        <f t="shared" si="114"/>
        <v>2.8201885144698405E-2</v>
      </c>
      <c r="BX26" s="4">
        <f t="shared" si="114"/>
        <v>2.559701267804981E-4</v>
      </c>
      <c r="BY26" s="4">
        <f t="shared" si="114"/>
        <v>0.89675369650977199</v>
      </c>
      <c r="BZ26" s="4">
        <f t="shared" si="114"/>
        <v>6.820851025386214E-2</v>
      </c>
      <c r="CA26" s="5">
        <f t="shared" si="26"/>
        <v>0.99999235324929558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E2D3F-8AE4-A949-AFA1-192DE2FB65B1}">
  <dimension ref="A1:CA26"/>
  <sheetViews>
    <sheetView workbookViewId="0">
      <selection activeCell="I38" sqref="I38"/>
    </sheetView>
  </sheetViews>
  <sheetFormatPr baseColWidth="10" defaultRowHeight="15" x14ac:dyDescent="0.2"/>
  <sheetData>
    <row r="1" spans="1:79" x14ac:dyDescent="0.2">
      <c r="A1" s="3" t="s">
        <v>168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2">
      <c r="A2" t="s">
        <v>79</v>
      </c>
      <c r="B2" t="s">
        <v>80</v>
      </c>
      <c r="C2" t="s">
        <v>80</v>
      </c>
      <c r="D2" t="s">
        <v>80</v>
      </c>
      <c r="E2" t="s">
        <v>80</v>
      </c>
      <c r="F2" t="s">
        <v>80</v>
      </c>
      <c r="G2" t="s">
        <v>80</v>
      </c>
      <c r="H2" t="s">
        <v>80</v>
      </c>
      <c r="I2" t="s">
        <v>80</v>
      </c>
      <c r="J2" t="s">
        <v>80</v>
      </c>
      <c r="K2" t="s">
        <v>80</v>
      </c>
      <c r="L2" t="s">
        <v>80</v>
      </c>
      <c r="M2" t="s">
        <v>80</v>
      </c>
      <c r="N2" t="s">
        <v>80</v>
      </c>
      <c r="O2" t="s">
        <v>80</v>
      </c>
      <c r="P2" t="s">
        <v>80</v>
      </c>
      <c r="Q2" t="s">
        <v>80</v>
      </c>
      <c r="R2" t="s">
        <v>80</v>
      </c>
      <c r="S2" t="s">
        <v>80</v>
      </c>
      <c r="T2" t="s">
        <v>80</v>
      </c>
      <c r="U2" t="s">
        <v>80</v>
      </c>
      <c r="V2" t="s">
        <v>80</v>
      </c>
      <c r="W2" t="s">
        <v>80</v>
      </c>
      <c r="X2" t="s">
        <v>80</v>
      </c>
      <c r="Y2" t="s">
        <v>80</v>
      </c>
      <c r="Z2" t="s">
        <v>80</v>
      </c>
      <c r="AA2" t="s">
        <v>80</v>
      </c>
      <c r="AB2" t="s">
        <v>80</v>
      </c>
      <c r="AC2" t="s">
        <v>80</v>
      </c>
      <c r="AD2" t="s">
        <v>80</v>
      </c>
      <c r="AE2" t="s">
        <v>80</v>
      </c>
      <c r="AF2" t="s">
        <v>80</v>
      </c>
      <c r="AG2" t="s">
        <v>80</v>
      </c>
      <c r="AH2" t="s">
        <v>80</v>
      </c>
      <c r="AI2" t="s">
        <v>80</v>
      </c>
      <c r="AJ2" t="s">
        <v>80</v>
      </c>
      <c r="AK2" t="s">
        <v>80</v>
      </c>
      <c r="AL2" t="s">
        <v>80</v>
      </c>
      <c r="AM2" t="s">
        <v>80</v>
      </c>
      <c r="AN2" t="s">
        <v>80</v>
      </c>
      <c r="AO2" t="s">
        <v>80</v>
      </c>
      <c r="AP2" t="s">
        <v>80</v>
      </c>
      <c r="AQ2" t="s">
        <v>80</v>
      </c>
      <c r="AR2" t="s">
        <v>80</v>
      </c>
      <c r="AS2" t="s">
        <v>80</v>
      </c>
      <c r="AT2" t="s">
        <v>80</v>
      </c>
      <c r="AU2" t="s">
        <v>80</v>
      </c>
      <c r="AV2" t="s">
        <v>80</v>
      </c>
      <c r="AW2" t="s">
        <v>80</v>
      </c>
      <c r="AX2" t="s">
        <v>80</v>
      </c>
      <c r="AY2" t="s">
        <v>80</v>
      </c>
      <c r="AZ2" t="s">
        <v>80</v>
      </c>
      <c r="BA2" t="s">
        <v>80</v>
      </c>
      <c r="BB2" t="s">
        <v>80</v>
      </c>
      <c r="BC2" t="s">
        <v>80</v>
      </c>
      <c r="BD2" t="s">
        <v>80</v>
      </c>
      <c r="BE2" t="s">
        <v>80</v>
      </c>
      <c r="BF2" t="s">
        <v>80</v>
      </c>
      <c r="BG2" t="s">
        <v>80</v>
      </c>
      <c r="BH2" t="s">
        <v>80</v>
      </c>
      <c r="BI2" t="s">
        <v>80</v>
      </c>
      <c r="BJ2" t="s">
        <v>80</v>
      </c>
      <c r="BK2" t="s">
        <v>80</v>
      </c>
      <c r="BL2" t="s">
        <v>80</v>
      </c>
      <c r="BM2" t="s">
        <v>80</v>
      </c>
      <c r="BN2" t="s">
        <v>80</v>
      </c>
      <c r="BO2" t="s">
        <v>80</v>
      </c>
      <c r="BP2" t="s">
        <v>80</v>
      </c>
      <c r="BQ2" t="s">
        <v>80</v>
      </c>
      <c r="BR2" t="s">
        <v>80</v>
      </c>
      <c r="BS2" t="s">
        <v>80</v>
      </c>
      <c r="BT2" t="s">
        <v>80</v>
      </c>
      <c r="BU2" t="s">
        <v>80</v>
      </c>
      <c r="BV2" t="s">
        <v>80</v>
      </c>
      <c r="BW2" t="s">
        <v>80</v>
      </c>
      <c r="BX2" t="s">
        <v>80</v>
      </c>
      <c r="BY2" t="s">
        <v>80</v>
      </c>
      <c r="BZ2" t="s">
        <v>80</v>
      </c>
      <c r="CA2" t="s">
        <v>80</v>
      </c>
    </row>
    <row r="3" spans="1:79" x14ac:dyDescent="0.2">
      <c r="A3" t="s">
        <v>81</v>
      </c>
      <c r="B3" t="s">
        <v>169</v>
      </c>
      <c r="C3" t="s">
        <v>170</v>
      </c>
      <c r="D3" t="s">
        <v>171</v>
      </c>
      <c r="E3" t="s">
        <v>172</v>
      </c>
      <c r="F3" t="s">
        <v>173</v>
      </c>
      <c r="G3" t="s">
        <v>174</v>
      </c>
      <c r="H3" t="s">
        <v>175</v>
      </c>
      <c r="I3" t="s">
        <v>176</v>
      </c>
      <c r="J3" t="s">
        <v>177</v>
      </c>
      <c r="K3" t="s">
        <v>178</v>
      </c>
      <c r="L3" t="s">
        <v>179</v>
      </c>
      <c r="M3" t="s">
        <v>180</v>
      </c>
      <c r="N3" t="s">
        <v>181</v>
      </c>
      <c r="O3" t="s">
        <v>182</v>
      </c>
      <c r="P3" t="s">
        <v>183</v>
      </c>
      <c r="Q3" t="s">
        <v>184</v>
      </c>
      <c r="R3" t="s">
        <v>185</v>
      </c>
      <c r="S3" t="s">
        <v>186</v>
      </c>
      <c r="T3" t="s">
        <v>187</v>
      </c>
      <c r="U3" t="s">
        <v>188</v>
      </c>
      <c r="V3" t="s">
        <v>189</v>
      </c>
      <c r="W3" t="s">
        <v>190</v>
      </c>
      <c r="X3" t="s">
        <v>191</v>
      </c>
      <c r="Y3" t="s">
        <v>192</v>
      </c>
      <c r="Z3" t="s">
        <v>193</v>
      </c>
      <c r="AA3" t="s">
        <v>194</v>
      </c>
      <c r="AB3" t="s">
        <v>195</v>
      </c>
      <c r="AC3" t="s">
        <v>196</v>
      </c>
      <c r="AD3" t="s">
        <v>197</v>
      </c>
      <c r="AE3" t="s">
        <v>198</v>
      </c>
      <c r="AF3" t="s">
        <v>199</v>
      </c>
      <c r="AG3" t="s">
        <v>200</v>
      </c>
      <c r="AH3" t="s">
        <v>201</v>
      </c>
      <c r="AI3" t="s">
        <v>202</v>
      </c>
      <c r="AJ3" t="s">
        <v>203</v>
      </c>
      <c r="AK3" t="s">
        <v>204</v>
      </c>
      <c r="AL3" t="s">
        <v>205</v>
      </c>
      <c r="AM3" t="s">
        <v>206</v>
      </c>
      <c r="AN3" t="s">
        <v>207</v>
      </c>
      <c r="AO3" t="s">
        <v>208</v>
      </c>
      <c r="AP3" t="s">
        <v>209</v>
      </c>
      <c r="AQ3" t="s">
        <v>210</v>
      </c>
      <c r="AR3" t="s">
        <v>211</v>
      </c>
      <c r="AS3" t="s">
        <v>212</v>
      </c>
      <c r="AT3" t="s">
        <v>213</v>
      </c>
      <c r="AU3" t="s">
        <v>214</v>
      </c>
      <c r="AV3" t="s">
        <v>215</v>
      </c>
      <c r="AW3" t="s">
        <v>216</v>
      </c>
      <c r="AX3" t="s">
        <v>217</v>
      </c>
      <c r="AY3" t="s">
        <v>218</v>
      </c>
      <c r="AZ3" t="s">
        <v>219</v>
      </c>
      <c r="BA3" t="s">
        <v>220</v>
      </c>
      <c r="BB3" t="s">
        <v>221</v>
      </c>
      <c r="BC3" t="s">
        <v>222</v>
      </c>
      <c r="BD3" t="s">
        <v>223</v>
      </c>
      <c r="BE3" t="s">
        <v>224</v>
      </c>
      <c r="BF3" t="s">
        <v>225</v>
      </c>
      <c r="BG3" t="s">
        <v>226</v>
      </c>
      <c r="BH3" t="s">
        <v>227</v>
      </c>
      <c r="BI3" t="s">
        <v>228</v>
      </c>
      <c r="BJ3" t="s">
        <v>229</v>
      </c>
      <c r="BK3" t="s">
        <v>230</v>
      </c>
      <c r="BL3" t="s">
        <v>231</v>
      </c>
      <c r="BM3" t="s">
        <v>232</v>
      </c>
      <c r="BN3" t="s">
        <v>233</v>
      </c>
      <c r="BO3" t="s">
        <v>234</v>
      </c>
      <c r="BP3" t="s">
        <v>235</v>
      </c>
      <c r="BQ3" t="s">
        <v>236</v>
      </c>
      <c r="BR3" t="s">
        <v>237</v>
      </c>
      <c r="BS3" t="s">
        <v>238</v>
      </c>
      <c r="BT3" t="s">
        <v>239</v>
      </c>
      <c r="BU3" t="s">
        <v>240</v>
      </c>
      <c r="BV3" t="s">
        <v>241</v>
      </c>
      <c r="BW3" t="s">
        <v>242</v>
      </c>
      <c r="BX3" t="s">
        <v>243</v>
      </c>
      <c r="BY3" t="s">
        <v>244</v>
      </c>
      <c r="BZ3" t="s">
        <v>245</v>
      </c>
      <c r="CA3" t="s">
        <v>246</v>
      </c>
    </row>
    <row r="4" spans="1:79" x14ac:dyDescent="0.2">
      <c r="A4" t="s">
        <v>160</v>
      </c>
      <c r="B4">
        <v>13977</v>
      </c>
      <c r="C4">
        <v>121</v>
      </c>
      <c r="D4">
        <v>780</v>
      </c>
      <c r="E4">
        <v>1075</v>
      </c>
      <c r="F4">
        <v>1852</v>
      </c>
      <c r="G4">
        <v>1265</v>
      </c>
      <c r="H4">
        <v>2601</v>
      </c>
      <c r="I4">
        <v>483</v>
      </c>
      <c r="J4">
        <v>1975</v>
      </c>
      <c r="K4">
        <v>919</v>
      </c>
      <c r="L4">
        <v>2908</v>
      </c>
      <c r="M4">
        <v>3271</v>
      </c>
      <c r="N4">
        <v>2241</v>
      </c>
      <c r="O4">
        <v>1027</v>
      </c>
      <c r="P4">
        <v>3206</v>
      </c>
      <c r="Q4">
        <v>5</v>
      </c>
      <c r="R4">
        <v>88</v>
      </c>
      <c r="S4">
        <v>102</v>
      </c>
      <c r="T4">
        <v>816</v>
      </c>
      <c r="U4">
        <v>212</v>
      </c>
      <c r="V4">
        <v>99</v>
      </c>
      <c r="W4">
        <v>311</v>
      </c>
      <c r="X4">
        <v>1017</v>
      </c>
      <c r="Y4">
        <v>551</v>
      </c>
      <c r="Z4">
        <v>23604</v>
      </c>
      <c r="AA4">
        <v>51</v>
      </c>
      <c r="AB4">
        <v>23315</v>
      </c>
      <c r="AC4">
        <v>238</v>
      </c>
      <c r="AD4">
        <v>700</v>
      </c>
      <c r="AE4">
        <v>61</v>
      </c>
      <c r="AF4">
        <v>596</v>
      </c>
      <c r="AG4">
        <v>44</v>
      </c>
      <c r="AH4">
        <v>27705</v>
      </c>
      <c r="AI4">
        <v>2410</v>
      </c>
      <c r="AJ4">
        <v>1567</v>
      </c>
      <c r="AK4">
        <v>997</v>
      </c>
      <c r="AL4">
        <v>11226</v>
      </c>
      <c r="AM4">
        <v>2938</v>
      </c>
      <c r="AN4">
        <v>1682</v>
      </c>
      <c r="AO4">
        <v>1958</v>
      </c>
      <c r="AP4">
        <v>1947</v>
      </c>
      <c r="AQ4">
        <v>2978</v>
      </c>
      <c r="AR4">
        <v>28223</v>
      </c>
      <c r="AS4">
        <v>164</v>
      </c>
      <c r="AT4">
        <v>3399</v>
      </c>
      <c r="AU4">
        <v>1305</v>
      </c>
      <c r="AV4">
        <v>2999</v>
      </c>
      <c r="AW4">
        <v>3577</v>
      </c>
      <c r="AX4">
        <v>3847</v>
      </c>
      <c r="AY4">
        <v>2532</v>
      </c>
      <c r="AZ4">
        <v>2691</v>
      </c>
      <c r="BA4">
        <v>7710</v>
      </c>
      <c r="BB4">
        <v>103332</v>
      </c>
      <c r="BC4">
        <v>4429</v>
      </c>
      <c r="BD4">
        <v>7665</v>
      </c>
      <c r="BE4">
        <v>595</v>
      </c>
      <c r="BF4">
        <v>14478</v>
      </c>
      <c r="BG4">
        <v>9773</v>
      </c>
      <c r="BH4">
        <v>14598</v>
      </c>
      <c r="BI4">
        <v>13089</v>
      </c>
      <c r="BJ4">
        <v>34412</v>
      </c>
      <c r="BK4">
        <v>4295</v>
      </c>
      <c r="BL4">
        <v>40365</v>
      </c>
      <c r="BM4">
        <v>1661</v>
      </c>
      <c r="BN4">
        <v>4276</v>
      </c>
      <c r="BO4">
        <v>1462</v>
      </c>
      <c r="BP4">
        <v>8611</v>
      </c>
      <c r="BQ4">
        <v>2202</v>
      </c>
      <c r="BR4">
        <v>6756</v>
      </c>
      <c r="BS4">
        <v>1853</v>
      </c>
      <c r="BT4">
        <v>13547</v>
      </c>
      <c r="BU4">
        <v>9962</v>
      </c>
      <c r="BV4">
        <v>4</v>
      </c>
      <c r="BW4">
        <v>41</v>
      </c>
      <c r="BX4">
        <v>7</v>
      </c>
      <c r="BY4">
        <v>7468</v>
      </c>
      <c r="BZ4">
        <v>2440</v>
      </c>
      <c r="CA4">
        <v>254345</v>
      </c>
    </row>
    <row r="5" spans="1:79" x14ac:dyDescent="0.2">
      <c r="A5" t="s">
        <v>161</v>
      </c>
      <c r="B5">
        <v>14304</v>
      </c>
      <c r="C5">
        <v>155</v>
      </c>
      <c r="D5">
        <v>833</v>
      </c>
      <c r="E5">
        <v>1321</v>
      </c>
      <c r="F5">
        <v>1950</v>
      </c>
      <c r="G5">
        <v>1309</v>
      </c>
      <c r="H5">
        <v>2684</v>
      </c>
      <c r="I5">
        <v>460</v>
      </c>
      <c r="J5">
        <v>2057</v>
      </c>
      <c r="K5">
        <v>939</v>
      </c>
      <c r="L5">
        <v>2593</v>
      </c>
      <c r="M5">
        <v>3285</v>
      </c>
      <c r="N5">
        <v>2280</v>
      </c>
      <c r="O5">
        <v>1006</v>
      </c>
      <c r="P5">
        <v>3544</v>
      </c>
      <c r="Q5">
        <v>3</v>
      </c>
      <c r="R5">
        <v>111</v>
      </c>
      <c r="S5">
        <v>165</v>
      </c>
      <c r="T5">
        <v>836</v>
      </c>
      <c r="U5">
        <v>232</v>
      </c>
      <c r="V5">
        <v>91</v>
      </c>
      <c r="W5">
        <v>286</v>
      </c>
      <c r="X5">
        <v>1221</v>
      </c>
      <c r="Y5">
        <v>597</v>
      </c>
      <c r="Z5">
        <v>29805</v>
      </c>
      <c r="AA5">
        <v>139</v>
      </c>
      <c r="AB5">
        <v>29365</v>
      </c>
      <c r="AC5">
        <v>303</v>
      </c>
      <c r="AD5">
        <v>702</v>
      </c>
      <c r="AE5">
        <v>56</v>
      </c>
      <c r="AF5">
        <v>591</v>
      </c>
      <c r="AG5">
        <v>53</v>
      </c>
      <c r="AH5">
        <v>28054</v>
      </c>
      <c r="AI5">
        <v>2363</v>
      </c>
      <c r="AJ5">
        <v>1578</v>
      </c>
      <c r="AK5">
        <v>1019</v>
      </c>
      <c r="AL5">
        <v>11138</v>
      </c>
      <c r="AM5">
        <v>3084</v>
      </c>
      <c r="AN5">
        <v>1640</v>
      </c>
      <c r="AO5">
        <v>2109</v>
      </c>
      <c r="AP5">
        <v>1994</v>
      </c>
      <c r="AQ5">
        <v>3131</v>
      </c>
      <c r="AR5">
        <v>28701</v>
      </c>
      <c r="AS5">
        <v>160</v>
      </c>
      <c r="AT5">
        <v>3580</v>
      </c>
      <c r="AU5">
        <v>1408</v>
      </c>
      <c r="AV5">
        <v>2935</v>
      </c>
      <c r="AW5">
        <v>3604</v>
      </c>
      <c r="AX5">
        <v>3794</v>
      </c>
      <c r="AY5">
        <v>3059</v>
      </c>
      <c r="AZ5">
        <v>2479</v>
      </c>
      <c r="BA5">
        <v>7685</v>
      </c>
      <c r="BB5">
        <v>117933</v>
      </c>
      <c r="BC5">
        <v>4763</v>
      </c>
      <c r="BD5">
        <v>8870</v>
      </c>
      <c r="BE5">
        <v>639</v>
      </c>
      <c r="BF5">
        <v>13380</v>
      </c>
      <c r="BG5">
        <v>10489</v>
      </c>
      <c r="BH5">
        <v>15584</v>
      </c>
      <c r="BI5">
        <v>14637</v>
      </c>
      <c r="BJ5">
        <v>37308</v>
      </c>
      <c r="BK5">
        <v>12266</v>
      </c>
      <c r="BL5">
        <v>40571</v>
      </c>
      <c r="BM5">
        <v>1629</v>
      </c>
      <c r="BN5">
        <v>4256</v>
      </c>
      <c r="BO5">
        <v>1537</v>
      </c>
      <c r="BP5">
        <v>8736</v>
      </c>
      <c r="BQ5">
        <v>2177</v>
      </c>
      <c r="BR5">
        <v>6544</v>
      </c>
      <c r="BS5">
        <v>1821</v>
      </c>
      <c r="BT5">
        <v>13867</v>
      </c>
      <c r="BU5">
        <v>21397</v>
      </c>
      <c r="BV5">
        <v>12</v>
      </c>
      <c r="BW5">
        <v>21</v>
      </c>
      <c r="BX5">
        <v>3</v>
      </c>
      <c r="BY5">
        <v>6220</v>
      </c>
      <c r="BZ5">
        <v>15140</v>
      </c>
      <c r="CA5">
        <v>288291</v>
      </c>
    </row>
    <row r="6" spans="1:79" x14ac:dyDescent="0.2">
      <c r="A6" t="s">
        <v>162</v>
      </c>
      <c r="B6">
        <v>15132</v>
      </c>
      <c r="C6">
        <v>168</v>
      </c>
      <c r="D6">
        <v>822</v>
      </c>
      <c r="E6">
        <v>1420</v>
      </c>
      <c r="F6">
        <v>2013</v>
      </c>
      <c r="G6">
        <v>1479</v>
      </c>
      <c r="H6">
        <v>2647</v>
      </c>
      <c r="I6">
        <v>483</v>
      </c>
      <c r="J6">
        <v>2031</v>
      </c>
      <c r="K6">
        <v>1100</v>
      </c>
      <c r="L6">
        <v>2970</v>
      </c>
      <c r="M6">
        <v>3541</v>
      </c>
      <c r="N6">
        <v>2480</v>
      </c>
      <c r="O6">
        <v>1063</v>
      </c>
      <c r="P6">
        <v>3985</v>
      </c>
      <c r="Q6">
        <v>2</v>
      </c>
      <c r="R6">
        <v>115</v>
      </c>
      <c r="S6">
        <v>160</v>
      </c>
      <c r="T6">
        <v>1041</v>
      </c>
      <c r="U6">
        <v>284</v>
      </c>
      <c r="V6">
        <v>99</v>
      </c>
      <c r="W6">
        <v>316</v>
      </c>
      <c r="X6">
        <v>1306</v>
      </c>
      <c r="Y6">
        <v>662</v>
      </c>
      <c r="Z6">
        <v>40512</v>
      </c>
      <c r="AA6">
        <v>178</v>
      </c>
      <c r="AB6">
        <v>39947</v>
      </c>
      <c r="AC6">
        <v>390</v>
      </c>
      <c r="AD6">
        <v>756</v>
      </c>
      <c r="AE6">
        <v>70</v>
      </c>
      <c r="AF6">
        <v>627</v>
      </c>
      <c r="AG6">
        <v>54</v>
      </c>
      <c r="AH6">
        <v>29837</v>
      </c>
      <c r="AI6">
        <v>2507</v>
      </c>
      <c r="AJ6">
        <v>1107</v>
      </c>
      <c r="AK6">
        <v>1111</v>
      </c>
      <c r="AL6">
        <v>11782</v>
      </c>
      <c r="AM6">
        <v>3595</v>
      </c>
      <c r="AN6">
        <v>1915</v>
      </c>
      <c r="AO6">
        <v>2460</v>
      </c>
      <c r="AP6">
        <v>2196</v>
      </c>
      <c r="AQ6">
        <v>3161</v>
      </c>
      <c r="AR6">
        <v>32443</v>
      </c>
      <c r="AS6">
        <v>154</v>
      </c>
      <c r="AT6">
        <v>3966</v>
      </c>
      <c r="AU6">
        <v>1596</v>
      </c>
      <c r="AV6">
        <v>3163</v>
      </c>
      <c r="AW6">
        <v>3816</v>
      </c>
      <c r="AX6">
        <v>4038</v>
      </c>
      <c r="AY6">
        <v>3901</v>
      </c>
      <c r="AZ6">
        <v>2775</v>
      </c>
      <c r="BA6">
        <v>9039</v>
      </c>
      <c r="BB6">
        <v>121404</v>
      </c>
      <c r="BC6">
        <v>5936</v>
      </c>
      <c r="BD6">
        <v>10484</v>
      </c>
      <c r="BE6">
        <v>751</v>
      </c>
      <c r="BF6">
        <v>14952</v>
      </c>
      <c r="BG6">
        <v>11907</v>
      </c>
      <c r="BH6">
        <v>17166</v>
      </c>
      <c r="BI6">
        <v>16823</v>
      </c>
      <c r="BJ6">
        <v>39091</v>
      </c>
      <c r="BK6">
        <v>4294</v>
      </c>
      <c r="BL6">
        <v>44299</v>
      </c>
      <c r="BM6">
        <v>1789</v>
      </c>
      <c r="BN6">
        <v>4874</v>
      </c>
      <c r="BO6">
        <v>1843</v>
      </c>
      <c r="BP6">
        <v>9479</v>
      </c>
      <c r="BQ6">
        <v>2324</v>
      </c>
      <c r="BR6">
        <v>7364</v>
      </c>
      <c r="BS6">
        <v>1934</v>
      </c>
      <c r="BT6">
        <v>14691</v>
      </c>
      <c r="BU6">
        <v>12140</v>
      </c>
      <c r="BV6">
        <v>5</v>
      </c>
      <c r="BW6">
        <v>30</v>
      </c>
      <c r="BX6">
        <v>7</v>
      </c>
      <c r="BY6">
        <v>6385</v>
      </c>
      <c r="BZ6">
        <v>5711</v>
      </c>
      <c r="CA6">
        <v>304050</v>
      </c>
    </row>
    <row r="7" spans="1:79" x14ac:dyDescent="0.2">
      <c r="A7" t="s">
        <v>163</v>
      </c>
      <c r="B7">
        <v>16938</v>
      </c>
      <c r="C7">
        <v>145</v>
      </c>
      <c r="D7">
        <v>1029</v>
      </c>
      <c r="E7">
        <v>1477</v>
      </c>
      <c r="F7">
        <v>2034</v>
      </c>
      <c r="G7">
        <v>1916</v>
      </c>
      <c r="H7">
        <v>2806</v>
      </c>
      <c r="I7">
        <v>485</v>
      </c>
      <c r="J7">
        <v>2131</v>
      </c>
      <c r="K7">
        <v>1238</v>
      </c>
      <c r="L7">
        <v>3678</v>
      </c>
      <c r="M7">
        <v>3798</v>
      </c>
      <c r="N7">
        <v>2688</v>
      </c>
      <c r="O7">
        <v>1113</v>
      </c>
      <c r="P7">
        <v>3138</v>
      </c>
      <c r="Q7">
        <v>7</v>
      </c>
      <c r="R7">
        <v>127</v>
      </c>
      <c r="S7">
        <v>147</v>
      </c>
      <c r="T7">
        <v>801</v>
      </c>
      <c r="U7">
        <v>260</v>
      </c>
      <c r="V7">
        <v>98</v>
      </c>
      <c r="W7">
        <v>286</v>
      </c>
      <c r="X7">
        <v>744</v>
      </c>
      <c r="Y7">
        <v>665</v>
      </c>
      <c r="Z7">
        <v>38794</v>
      </c>
      <c r="AA7">
        <v>203</v>
      </c>
      <c r="AB7">
        <v>38357</v>
      </c>
      <c r="AC7">
        <v>236</v>
      </c>
      <c r="AD7">
        <v>725</v>
      </c>
      <c r="AE7">
        <v>83</v>
      </c>
      <c r="AF7">
        <v>579</v>
      </c>
      <c r="AG7">
        <v>64</v>
      </c>
      <c r="AH7">
        <v>31024</v>
      </c>
      <c r="AI7">
        <v>2260</v>
      </c>
      <c r="AJ7">
        <v>1031</v>
      </c>
      <c r="AK7">
        <v>1084</v>
      </c>
      <c r="AL7">
        <v>13112</v>
      </c>
      <c r="AM7">
        <v>3865</v>
      </c>
      <c r="AN7">
        <v>2150</v>
      </c>
      <c r="AO7">
        <v>2211</v>
      </c>
      <c r="AP7">
        <v>2226</v>
      </c>
      <c r="AQ7">
        <v>3090</v>
      </c>
      <c r="AR7">
        <v>32286</v>
      </c>
      <c r="AS7">
        <v>143</v>
      </c>
      <c r="AT7">
        <v>4242</v>
      </c>
      <c r="AU7">
        <v>1517</v>
      </c>
      <c r="AV7">
        <v>3336</v>
      </c>
      <c r="AW7">
        <v>3834</v>
      </c>
      <c r="AX7">
        <v>4110</v>
      </c>
      <c r="AY7">
        <v>3271</v>
      </c>
      <c r="AZ7">
        <v>2874</v>
      </c>
      <c r="BA7">
        <v>8957</v>
      </c>
      <c r="BB7">
        <v>123286</v>
      </c>
      <c r="BC7">
        <v>6310</v>
      </c>
      <c r="BD7">
        <v>10688</v>
      </c>
      <c r="BE7">
        <v>864</v>
      </c>
      <c r="BF7">
        <v>15646</v>
      </c>
      <c r="BG7">
        <v>11737</v>
      </c>
      <c r="BH7">
        <v>17648</v>
      </c>
      <c r="BI7">
        <v>17451</v>
      </c>
      <c r="BJ7">
        <v>37286</v>
      </c>
      <c r="BK7">
        <v>5660</v>
      </c>
      <c r="BL7">
        <v>46308</v>
      </c>
      <c r="BM7">
        <v>1742</v>
      </c>
      <c r="BN7">
        <v>4983</v>
      </c>
      <c r="BO7">
        <v>1886</v>
      </c>
      <c r="BP7">
        <v>10205</v>
      </c>
      <c r="BQ7">
        <v>2564</v>
      </c>
      <c r="BR7">
        <v>7726</v>
      </c>
      <c r="BS7">
        <v>2078</v>
      </c>
      <c r="BT7">
        <v>15133</v>
      </c>
      <c r="BU7">
        <v>11251</v>
      </c>
      <c r="BV7">
        <v>5</v>
      </c>
      <c r="BW7">
        <v>33</v>
      </c>
      <c r="BX7">
        <v>2</v>
      </c>
      <c r="BY7">
        <v>6772</v>
      </c>
      <c r="BZ7">
        <v>4434</v>
      </c>
      <c r="CA7">
        <v>307549</v>
      </c>
    </row>
    <row r="8" spans="1:79" x14ac:dyDescent="0.2">
      <c r="A8" t="s">
        <v>164</v>
      </c>
      <c r="B8">
        <v>17607</v>
      </c>
      <c r="C8">
        <v>157</v>
      </c>
      <c r="D8">
        <v>905</v>
      </c>
      <c r="E8">
        <v>1589</v>
      </c>
      <c r="F8">
        <v>1882</v>
      </c>
      <c r="G8">
        <v>2088</v>
      </c>
      <c r="H8">
        <v>3107</v>
      </c>
      <c r="I8">
        <v>489</v>
      </c>
      <c r="J8">
        <v>2208</v>
      </c>
      <c r="K8">
        <v>1355</v>
      </c>
      <c r="L8">
        <v>3824</v>
      </c>
      <c r="M8">
        <v>3475</v>
      </c>
      <c r="N8">
        <v>2585</v>
      </c>
      <c r="O8">
        <v>891</v>
      </c>
      <c r="P8">
        <v>3257</v>
      </c>
      <c r="Q8">
        <v>7</v>
      </c>
      <c r="R8">
        <v>141</v>
      </c>
      <c r="S8">
        <v>122</v>
      </c>
      <c r="T8">
        <v>801</v>
      </c>
      <c r="U8">
        <v>240</v>
      </c>
      <c r="V8">
        <v>97</v>
      </c>
      <c r="W8">
        <v>298</v>
      </c>
      <c r="X8">
        <v>870</v>
      </c>
      <c r="Y8">
        <v>686</v>
      </c>
      <c r="Z8">
        <v>23108</v>
      </c>
      <c r="AA8">
        <v>148</v>
      </c>
      <c r="AB8">
        <v>22720</v>
      </c>
      <c r="AC8">
        <v>242</v>
      </c>
      <c r="AD8">
        <v>766</v>
      </c>
      <c r="AE8">
        <v>85</v>
      </c>
      <c r="AF8">
        <v>627</v>
      </c>
      <c r="AG8">
        <v>55</v>
      </c>
      <c r="AH8">
        <v>33291</v>
      </c>
      <c r="AI8">
        <v>2668</v>
      </c>
      <c r="AJ8">
        <v>1043</v>
      </c>
      <c r="AK8">
        <v>1084</v>
      </c>
      <c r="AL8">
        <v>13802</v>
      </c>
      <c r="AM8">
        <v>3970</v>
      </c>
      <c r="AN8">
        <v>2122</v>
      </c>
      <c r="AO8">
        <v>2138</v>
      </c>
      <c r="AP8">
        <v>2294</v>
      </c>
      <c r="AQ8">
        <v>4167</v>
      </c>
      <c r="AR8">
        <v>34399</v>
      </c>
      <c r="AS8">
        <v>135</v>
      </c>
      <c r="AT8">
        <v>4089</v>
      </c>
      <c r="AU8">
        <v>1419</v>
      </c>
      <c r="AV8">
        <v>3274</v>
      </c>
      <c r="AW8">
        <v>5896</v>
      </c>
      <c r="AX8">
        <v>3869</v>
      </c>
      <c r="AY8">
        <v>3134</v>
      </c>
      <c r="AZ8">
        <v>3596</v>
      </c>
      <c r="BA8">
        <v>8988</v>
      </c>
      <c r="BB8">
        <v>119746</v>
      </c>
      <c r="BC8">
        <v>5691</v>
      </c>
      <c r="BD8">
        <v>10600</v>
      </c>
      <c r="BE8">
        <v>751</v>
      </c>
      <c r="BF8">
        <v>15673</v>
      </c>
      <c r="BG8">
        <v>12455</v>
      </c>
      <c r="BH8">
        <v>17588</v>
      </c>
      <c r="BI8">
        <v>17885</v>
      </c>
      <c r="BJ8">
        <v>33502</v>
      </c>
      <c r="BK8">
        <v>5595</v>
      </c>
      <c r="BL8">
        <v>46038</v>
      </c>
      <c r="BM8">
        <v>1726</v>
      </c>
      <c r="BN8">
        <v>5224</v>
      </c>
      <c r="BO8">
        <v>1512</v>
      </c>
      <c r="BP8">
        <v>10186</v>
      </c>
      <c r="BQ8">
        <v>2107</v>
      </c>
      <c r="BR8">
        <v>7758</v>
      </c>
      <c r="BS8">
        <v>1879</v>
      </c>
      <c r="BT8">
        <v>15649</v>
      </c>
      <c r="BU8">
        <v>11914</v>
      </c>
      <c r="BV8">
        <v>2</v>
      </c>
      <c r="BW8">
        <v>60</v>
      </c>
      <c r="BX8">
        <v>12</v>
      </c>
      <c r="BY8">
        <v>9208</v>
      </c>
      <c r="BZ8">
        <v>2632</v>
      </c>
      <c r="CA8">
        <v>293603</v>
      </c>
    </row>
    <row r="9" spans="1:79" x14ac:dyDescent="0.2">
      <c r="A9" t="s">
        <v>165</v>
      </c>
      <c r="B9">
        <v>16410</v>
      </c>
      <c r="C9">
        <v>156</v>
      </c>
      <c r="D9">
        <v>966</v>
      </c>
      <c r="E9">
        <v>1438</v>
      </c>
      <c r="F9">
        <v>1874</v>
      </c>
      <c r="G9">
        <v>1727</v>
      </c>
      <c r="H9">
        <v>2837</v>
      </c>
      <c r="I9">
        <v>491</v>
      </c>
      <c r="J9">
        <v>2164</v>
      </c>
      <c r="K9">
        <v>1220</v>
      </c>
      <c r="L9">
        <v>3535</v>
      </c>
      <c r="M9">
        <v>3449</v>
      </c>
      <c r="N9">
        <v>2744</v>
      </c>
      <c r="O9">
        <v>704</v>
      </c>
      <c r="P9">
        <v>4247</v>
      </c>
      <c r="Q9">
        <v>2</v>
      </c>
      <c r="R9">
        <v>102</v>
      </c>
      <c r="S9">
        <v>134</v>
      </c>
      <c r="T9">
        <v>1051</v>
      </c>
      <c r="U9">
        <v>281</v>
      </c>
      <c r="V9">
        <v>115</v>
      </c>
      <c r="W9">
        <v>426</v>
      </c>
      <c r="X9">
        <v>1425</v>
      </c>
      <c r="Y9">
        <v>712</v>
      </c>
      <c r="Z9">
        <v>34552</v>
      </c>
      <c r="AA9">
        <v>200</v>
      </c>
      <c r="AB9">
        <v>34044</v>
      </c>
      <c r="AC9">
        <v>310</v>
      </c>
      <c r="AD9">
        <v>831</v>
      </c>
      <c r="AE9">
        <v>90</v>
      </c>
      <c r="AF9">
        <v>680</v>
      </c>
      <c r="AG9">
        <v>61</v>
      </c>
      <c r="AH9">
        <v>37021</v>
      </c>
      <c r="AI9">
        <v>3051</v>
      </c>
      <c r="AJ9">
        <v>1286</v>
      </c>
      <c r="AK9">
        <v>1152</v>
      </c>
      <c r="AL9">
        <v>14770</v>
      </c>
      <c r="AM9">
        <v>3861</v>
      </c>
      <c r="AN9">
        <v>3289</v>
      </c>
      <c r="AO9">
        <v>2677</v>
      </c>
      <c r="AP9">
        <v>2448</v>
      </c>
      <c r="AQ9">
        <v>4490</v>
      </c>
      <c r="AR9">
        <v>36977</v>
      </c>
      <c r="AS9">
        <v>174</v>
      </c>
      <c r="AT9">
        <v>4349</v>
      </c>
      <c r="AU9">
        <v>1678</v>
      </c>
      <c r="AV9">
        <v>3217</v>
      </c>
      <c r="AW9">
        <v>4692</v>
      </c>
      <c r="AX9">
        <v>4281</v>
      </c>
      <c r="AY9">
        <v>4050</v>
      </c>
      <c r="AZ9">
        <v>4056</v>
      </c>
      <c r="BA9">
        <v>10479</v>
      </c>
      <c r="BB9">
        <v>135405</v>
      </c>
      <c r="BC9">
        <v>5352</v>
      </c>
      <c r="BD9">
        <v>12971</v>
      </c>
      <c r="BE9">
        <v>971</v>
      </c>
      <c r="BF9">
        <v>16935</v>
      </c>
      <c r="BG9">
        <v>13204</v>
      </c>
      <c r="BH9">
        <v>17682</v>
      </c>
      <c r="BI9">
        <v>19654</v>
      </c>
      <c r="BJ9">
        <v>42876</v>
      </c>
      <c r="BK9">
        <v>5759</v>
      </c>
      <c r="BL9">
        <v>50131</v>
      </c>
      <c r="BM9">
        <v>1958</v>
      </c>
      <c r="BN9">
        <v>5647</v>
      </c>
      <c r="BO9">
        <v>1632</v>
      </c>
      <c r="BP9">
        <v>10984</v>
      </c>
      <c r="BQ9">
        <v>2411</v>
      </c>
      <c r="BR9">
        <v>8175</v>
      </c>
      <c r="BS9">
        <v>2067</v>
      </c>
      <c r="BT9">
        <v>17260</v>
      </c>
      <c r="BU9">
        <v>11211</v>
      </c>
      <c r="BV9">
        <v>4</v>
      </c>
      <c r="BW9">
        <v>56</v>
      </c>
      <c r="BX9">
        <v>11</v>
      </c>
      <c r="BY9">
        <v>6525</v>
      </c>
      <c r="BZ9">
        <v>4615</v>
      </c>
      <c r="CA9">
        <v>330234</v>
      </c>
    </row>
    <row r="10" spans="1:79" x14ac:dyDescent="0.2">
      <c r="A10" t="s">
        <v>166</v>
      </c>
      <c r="B10">
        <v>19518</v>
      </c>
      <c r="C10">
        <v>167</v>
      </c>
      <c r="D10">
        <v>1070</v>
      </c>
      <c r="E10">
        <v>1809</v>
      </c>
      <c r="F10">
        <v>2449</v>
      </c>
      <c r="G10">
        <v>2011</v>
      </c>
      <c r="H10">
        <v>3163</v>
      </c>
      <c r="I10">
        <v>565</v>
      </c>
      <c r="J10">
        <v>2566</v>
      </c>
      <c r="K10">
        <v>1660</v>
      </c>
      <c r="L10">
        <v>4063</v>
      </c>
      <c r="M10">
        <v>3850</v>
      </c>
      <c r="N10">
        <v>3170</v>
      </c>
      <c r="O10">
        <v>682</v>
      </c>
      <c r="P10">
        <v>4653</v>
      </c>
      <c r="Q10">
        <v>4</v>
      </c>
      <c r="R10">
        <v>135</v>
      </c>
      <c r="S10">
        <v>148</v>
      </c>
      <c r="T10">
        <v>1444</v>
      </c>
      <c r="U10">
        <v>365</v>
      </c>
      <c r="V10">
        <v>125</v>
      </c>
      <c r="W10">
        <v>604</v>
      </c>
      <c r="X10">
        <v>945</v>
      </c>
      <c r="Y10">
        <v>881</v>
      </c>
      <c r="Z10">
        <v>65806</v>
      </c>
      <c r="AA10">
        <v>375</v>
      </c>
      <c r="AB10">
        <v>65082</v>
      </c>
      <c r="AC10">
        <v>352</v>
      </c>
      <c r="AD10">
        <v>1094</v>
      </c>
      <c r="AE10">
        <v>128</v>
      </c>
      <c r="AF10">
        <v>888</v>
      </c>
      <c r="AG10">
        <v>76</v>
      </c>
      <c r="AH10">
        <v>51393</v>
      </c>
      <c r="AI10">
        <v>3755</v>
      </c>
      <c r="AJ10">
        <v>3401</v>
      </c>
      <c r="AK10">
        <v>1267</v>
      </c>
      <c r="AL10">
        <v>19106</v>
      </c>
      <c r="AM10">
        <v>4657</v>
      </c>
      <c r="AN10">
        <v>5706</v>
      </c>
      <c r="AO10">
        <v>3148</v>
      </c>
      <c r="AP10">
        <v>2866</v>
      </c>
      <c r="AQ10">
        <v>7484</v>
      </c>
      <c r="AR10">
        <v>44021</v>
      </c>
      <c r="AS10">
        <v>202</v>
      </c>
      <c r="AT10">
        <v>5123</v>
      </c>
      <c r="AU10">
        <v>2045</v>
      </c>
      <c r="AV10">
        <v>3802</v>
      </c>
      <c r="AW10">
        <v>5323</v>
      </c>
      <c r="AX10">
        <v>4835</v>
      </c>
      <c r="AY10">
        <v>5214</v>
      </c>
      <c r="AZ10">
        <v>5023</v>
      </c>
      <c r="BA10">
        <v>12450</v>
      </c>
      <c r="BB10">
        <v>156900</v>
      </c>
      <c r="BC10">
        <v>6250</v>
      </c>
      <c r="BD10">
        <v>15810</v>
      </c>
      <c r="BE10">
        <v>1095</v>
      </c>
      <c r="BF10">
        <v>19875</v>
      </c>
      <c r="BG10">
        <v>14727</v>
      </c>
      <c r="BH10">
        <v>20341</v>
      </c>
      <c r="BI10">
        <v>23299</v>
      </c>
      <c r="BJ10">
        <v>50050</v>
      </c>
      <c r="BK10">
        <v>5454</v>
      </c>
      <c r="BL10">
        <v>57476</v>
      </c>
      <c r="BM10">
        <v>2136</v>
      </c>
      <c r="BN10">
        <v>6266</v>
      </c>
      <c r="BO10">
        <v>2203</v>
      </c>
      <c r="BP10">
        <v>12829</v>
      </c>
      <c r="BQ10">
        <v>3104</v>
      </c>
      <c r="BR10">
        <v>9104</v>
      </c>
      <c r="BS10">
        <v>2481</v>
      </c>
      <c r="BT10">
        <v>19352</v>
      </c>
      <c r="BU10">
        <v>12292</v>
      </c>
      <c r="BV10">
        <v>3</v>
      </c>
      <c r="BW10">
        <v>80</v>
      </c>
      <c r="BX10">
        <v>17</v>
      </c>
      <c r="BY10">
        <v>6959</v>
      </c>
      <c r="BZ10">
        <v>5229</v>
      </c>
      <c r="CA10">
        <v>417002</v>
      </c>
    </row>
    <row r="11" spans="1:79" x14ac:dyDescent="0.2">
      <c r="A11" t="s">
        <v>167</v>
      </c>
      <c r="B11">
        <v>19684</v>
      </c>
      <c r="C11">
        <v>212</v>
      </c>
      <c r="D11">
        <v>1035</v>
      </c>
      <c r="E11">
        <v>2034</v>
      </c>
      <c r="F11">
        <v>2230</v>
      </c>
      <c r="G11">
        <v>2136</v>
      </c>
      <c r="H11">
        <v>3366</v>
      </c>
      <c r="I11">
        <v>611</v>
      </c>
      <c r="J11">
        <v>2582</v>
      </c>
      <c r="K11">
        <v>1438</v>
      </c>
      <c r="L11">
        <v>4035</v>
      </c>
      <c r="M11">
        <v>3518</v>
      </c>
      <c r="N11">
        <v>2928</v>
      </c>
      <c r="O11">
        <v>588</v>
      </c>
      <c r="P11">
        <v>3931</v>
      </c>
      <c r="Q11">
        <v>2</v>
      </c>
      <c r="R11">
        <v>120</v>
      </c>
      <c r="S11">
        <v>130</v>
      </c>
      <c r="T11">
        <v>841</v>
      </c>
      <c r="U11">
        <v>280</v>
      </c>
      <c r="V11">
        <v>119</v>
      </c>
      <c r="W11">
        <v>478</v>
      </c>
      <c r="X11">
        <v>1019</v>
      </c>
      <c r="Y11">
        <v>942</v>
      </c>
      <c r="Z11">
        <v>60651</v>
      </c>
      <c r="AA11">
        <v>306</v>
      </c>
      <c r="AB11">
        <v>60057</v>
      </c>
      <c r="AC11">
        <v>293</v>
      </c>
      <c r="AD11">
        <v>988</v>
      </c>
      <c r="AE11">
        <v>161</v>
      </c>
      <c r="AF11">
        <v>750</v>
      </c>
      <c r="AG11">
        <v>78</v>
      </c>
      <c r="AH11">
        <v>42831</v>
      </c>
      <c r="AI11">
        <v>2720</v>
      </c>
      <c r="AJ11">
        <v>2830</v>
      </c>
      <c r="AK11">
        <v>1148</v>
      </c>
      <c r="AL11">
        <v>17000</v>
      </c>
      <c r="AM11">
        <v>5168</v>
      </c>
      <c r="AN11">
        <v>3561</v>
      </c>
      <c r="AO11">
        <v>2728</v>
      </c>
      <c r="AP11">
        <v>2703</v>
      </c>
      <c r="AQ11">
        <v>4973</v>
      </c>
      <c r="AR11">
        <v>40640</v>
      </c>
      <c r="AS11">
        <v>176</v>
      </c>
      <c r="AT11">
        <v>5189</v>
      </c>
      <c r="AU11">
        <v>1733</v>
      </c>
      <c r="AV11">
        <v>3827</v>
      </c>
      <c r="AW11">
        <v>4277</v>
      </c>
      <c r="AX11">
        <v>4605</v>
      </c>
      <c r="AY11">
        <v>4746</v>
      </c>
      <c r="AZ11">
        <v>4174</v>
      </c>
      <c r="BA11">
        <v>11917</v>
      </c>
      <c r="BB11">
        <v>173355</v>
      </c>
      <c r="BC11">
        <v>7368</v>
      </c>
      <c r="BD11">
        <v>18321</v>
      </c>
      <c r="BE11">
        <v>1171</v>
      </c>
      <c r="BF11">
        <v>20852</v>
      </c>
      <c r="BG11">
        <v>12531</v>
      </c>
      <c r="BH11">
        <v>20204</v>
      </c>
      <c r="BI11">
        <v>23989</v>
      </c>
      <c r="BJ11">
        <v>62922</v>
      </c>
      <c r="BK11">
        <v>5995</v>
      </c>
      <c r="BL11">
        <v>55698</v>
      </c>
      <c r="BM11">
        <v>1960</v>
      </c>
      <c r="BN11">
        <v>5336</v>
      </c>
      <c r="BO11">
        <v>2249</v>
      </c>
      <c r="BP11">
        <v>12165</v>
      </c>
      <c r="BQ11">
        <v>2886</v>
      </c>
      <c r="BR11">
        <v>10010</v>
      </c>
      <c r="BS11">
        <v>2601</v>
      </c>
      <c r="BT11">
        <v>18494</v>
      </c>
      <c r="BU11">
        <v>12575</v>
      </c>
      <c r="BV11">
        <v>6</v>
      </c>
      <c r="BW11">
        <v>66</v>
      </c>
      <c r="BX11">
        <v>19</v>
      </c>
      <c r="BY11">
        <v>8565</v>
      </c>
      <c r="BZ11">
        <v>3917</v>
      </c>
      <c r="CA11">
        <v>413869</v>
      </c>
    </row>
    <row r="12" spans="1:79" x14ac:dyDescent="0.2">
      <c r="A12" t="s">
        <v>247</v>
      </c>
      <c r="B12">
        <v>22293</v>
      </c>
      <c r="C12">
        <v>201</v>
      </c>
      <c r="D12">
        <v>1251</v>
      </c>
      <c r="E12">
        <v>1935</v>
      </c>
      <c r="F12">
        <v>2405</v>
      </c>
      <c r="G12">
        <v>2526</v>
      </c>
      <c r="H12">
        <v>3913</v>
      </c>
      <c r="I12">
        <v>688</v>
      </c>
      <c r="J12">
        <v>3250</v>
      </c>
      <c r="K12">
        <v>1647</v>
      </c>
      <c r="L12">
        <v>4477</v>
      </c>
      <c r="M12">
        <v>3349</v>
      </c>
      <c r="N12">
        <v>2906</v>
      </c>
      <c r="O12">
        <v>441</v>
      </c>
      <c r="P12">
        <v>4119</v>
      </c>
      <c r="Q12">
        <v>6</v>
      </c>
      <c r="R12">
        <v>151</v>
      </c>
      <c r="S12">
        <v>141</v>
      </c>
      <c r="T12">
        <v>917</v>
      </c>
      <c r="U12">
        <v>276</v>
      </c>
      <c r="V12">
        <v>121</v>
      </c>
      <c r="W12">
        <v>362</v>
      </c>
      <c r="X12">
        <v>1143</v>
      </c>
      <c r="Y12">
        <v>1006</v>
      </c>
      <c r="Z12">
        <v>56749</v>
      </c>
      <c r="AA12">
        <v>260</v>
      </c>
      <c r="AB12">
        <v>56183</v>
      </c>
      <c r="AC12">
        <v>306</v>
      </c>
      <c r="AD12">
        <v>1257</v>
      </c>
      <c r="AE12">
        <v>204</v>
      </c>
      <c r="AF12">
        <v>973</v>
      </c>
      <c r="AG12">
        <v>78</v>
      </c>
      <c r="AH12">
        <v>45032</v>
      </c>
      <c r="AI12">
        <v>2723</v>
      </c>
      <c r="AJ12">
        <v>2683</v>
      </c>
      <c r="AK12">
        <v>1265</v>
      </c>
      <c r="AL12">
        <v>17012</v>
      </c>
      <c r="AM12">
        <v>5568</v>
      </c>
      <c r="AN12">
        <v>4652</v>
      </c>
      <c r="AO12">
        <v>2957</v>
      </c>
      <c r="AP12">
        <v>2840</v>
      </c>
      <c r="AQ12">
        <v>5337</v>
      </c>
      <c r="AR12">
        <v>43611</v>
      </c>
      <c r="AS12">
        <v>151</v>
      </c>
      <c r="AT12">
        <v>5553</v>
      </c>
      <c r="AU12">
        <v>1776</v>
      </c>
      <c r="AV12">
        <v>4210</v>
      </c>
      <c r="AW12">
        <v>4547</v>
      </c>
      <c r="AX12">
        <v>4461</v>
      </c>
      <c r="AY12">
        <v>5952</v>
      </c>
      <c r="AZ12">
        <v>4285</v>
      </c>
      <c r="BA12">
        <v>12677</v>
      </c>
      <c r="BB12">
        <v>180686</v>
      </c>
      <c r="BC12">
        <v>7929</v>
      </c>
      <c r="BD12">
        <v>15321</v>
      </c>
      <c r="BE12">
        <v>1101</v>
      </c>
      <c r="BF12">
        <v>23737</v>
      </c>
      <c r="BG12">
        <v>14902</v>
      </c>
      <c r="BH12">
        <v>20144</v>
      </c>
      <c r="BI12">
        <v>28336</v>
      </c>
      <c r="BJ12">
        <v>62025</v>
      </c>
      <c r="BK12">
        <v>7195</v>
      </c>
      <c r="BL12">
        <v>59310</v>
      </c>
      <c r="BM12">
        <v>1973</v>
      </c>
      <c r="BN12">
        <v>5994</v>
      </c>
      <c r="BO12">
        <v>2216</v>
      </c>
      <c r="BP12">
        <v>12814</v>
      </c>
      <c r="BQ12">
        <v>2948</v>
      </c>
      <c r="BR12">
        <v>10288</v>
      </c>
      <c r="BS12">
        <v>2713</v>
      </c>
      <c r="BT12">
        <v>20362</v>
      </c>
      <c r="BU12">
        <v>13470</v>
      </c>
      <c r="BV12">
        <v>1</v>
      </c>
      <c r="BW12">
        <v>57</v>
      </c>
      <c r="BX12">
        <v>18</v>
      </c>
      <c r="BY12">
        <v>9876</v>
      </c>
      <c r="BZ12">
        <v>3513</v>
      </c>
      <c r="CA12">
        <v>429873</v>
      </c>
    </row>
    <row r="13" spans="1:79" x14ac:dyDescent="0.2">
      <c r="A13" t="s">
        <v>248</v>
      </c>
      <c r="B13">
        <v>24515</v>
      </c>
      <c r="C13">
        <v>190</v>
      </c>
      <c r="D13">
        <v>1252</v>
      </c>
      <c r="E13">
        <v>2295</v>
      </c>
      <c r="F13">
        <v>2548</v>
      </c>
      <c r="G13">
        <v>2618</v>
      </c>
      <c r="H13">
        <v>4138</v>
      </c>
      <c r="I13">
        <v>715</v>
      </c>
      <c r="J13">
        <v>4510</v>
      </c>
      <c r="K13">
        <v>1518</v>
      </c>
      <c r="L13">
        <v>4731</v>
      </c>
      <c r="M13">
        <v>3378</v>
      </c>
      <c r="N13">
        <v>2913</v>
      </c>
      <c r="O13">
        <v>463</v>
      </c>
      <c r="P13">
        <v>5285</v>
      </c>
      <c r="Q13">
        <v>7</v>
      </c>
      <c r="R13">
        <v>145</v>
      </c>
      <c r="S13">
        <v>142</v>
      </c>
      <c r="T13">
        <v>953</v>
      </c>
      <c r="U13">
        <v>270</v>
      </c>
      <c r="V13">
        <v>127</v>
      </c>
      <c r="W13">
        <v>481</v>
      </c>
      <c r="X13">
        <v>2129</v>
      </c>
      <c r="Y13">
        <v>1030</v>
      </c>
      <c r="Z13">
        <v>53258</v>
      </c>
      <c r="AA13">
        <v>197</v>
      </c>
      <c r="AB13">
        <v>52742</v>
      </c>
      <c r="AC13">
        <v>317</v>
      </c>
      <c r="AD13">
        <v>1282</v>
      </c>
      <c r="AE13">
        <v>135</v>
      </c>
      <c r="AF13">
        <v>1052</v>
      </c>
      <c r="AG13">
        <v>94</v>
      </c>
      <c r="AH13">
        <v>47675</v>
      </c>
      <c r="AI13">
        <v>2807</v>
      </c>
      <c r="AJ13">
        <v>2888</v>
      </c>
      <c r="AK13">
        <v>1234</v>
      </c>
      <c r="AL13">
        <v>18490</v>
      </c>
      <c r="AM13">
        <v>5842</v>
      </c>
      <c r="AN13">
        <v>5109</v>
      </c>
      <c r="AO13">
        <v>2795</v>
      </c>
      <c r="AP13">
        <v>3004</v>
      </c>
      <c r="AQ13">
        <v>5504</v>
      </c>
      <c r="AR13">
        <v>45872</v>
      </c>
      <c r="AS13">
        <v>150</v>
      </c>
      <c r="AT13">
        <v>5746</v>
      </c>
      <c r="AU13">
        <v>1879</v>
      </c>
      <c r="AV13">
        <v>4117</v>
      </c>
      <c r="AW13">
        <v>4729</v>
      </c>
      <c r="AX13">
        <v>4671</v>
      </c>
      <c r="AY13">
        <v>5364</v>
      </c>
      <c r="AZ13">
        <v>5583</v>
      </c>
      <c r="BA13">
        <v>13641</v>
      </c>
      <c r="BB13">
        <v>190956</v>
      </c>
      <c r="BC13">
        <v>8883</v>
      </c>
      <c r="BD13">
        <v>14643</v>
      </c>
      <c r="BE13">
        <v>1058</v>
      </c>
      <c r="BF13">
        <v>23637</v>
      </c>
      <c r="BG13">
        <v>19183</v>
      </c>
      <c r="BH13">
        <v>21727</v>
      </c>
      <c r="BI13">
        <v>32803</v>
      </c>
      <c r="BJ13">
        <v>59473</v>
      </c>
      <c r="BK13">
        <v>9546</v>
      </c>
      <c r="BL13">
        <v>63028</v>
      </c>
      <c r="BM13">
        <v>2011</v>
      </c>
      <c r="BN13">
        <v>6346</v>
      </c>
      <c r="BO13">
        <v>2225</v>
      </c>
      <c r="BP13">
        <v>13100</v>
      </c>
      <c r="BQ13">
        <v>3120</v>
      </c>
      <c r="BR13">
        <v>10829</v>
      </c>
      <c r="BS13">
        <v>2808</v>
      </c>
      <c r="BT13">
        <v>22590</v>
      </c>
      <c r="BU13">
        <v>25622</v>
      </c>
      <c r="BV13">
        <v>6</v>
      </c>
      <c r="BW13">
        <v>71</v>
      </c>
      <c r="BX13">
        <v>22</v>
      </c>
      <c r="BY13">
        <v>20614</v>
      </c>
      <c r="BZ13">
        <v>4904</v>
      </c>
      <c r="CA13">
        <v>460866</v>
      </c>
    </row>
    <row r="16" spans="1:79" x14ac:dyDescent="0.2">
      <c r="A16" s="3" t="s">
        <v>251</v>
      </c>
      <c r="B16" s="3" t="s">
        <v>1</v>
      </c>
      <c r="C16" t="s">
        <v>2</v>
      </c>
      <c r="D16" t="s">
        <v>3</v>
      </c>
      <c r="E16" t="s">
        <v>4</v>
      </c>
      <c r="F16" t="s">
        <v>5</v>
      </c>
      <c r="G16" t="s">
        <v>6</v>
      </c>
      <c r="H16" t="s">
        <v>7</v>
      </c>
      <c r="I16" t="s">
        <v>8</v>
      </c>
      <c r="J16" t="s">
        <v>9</v>
      </c>
      <c r="K16" t="s">
        <v>10</v>
      </c>
      <c r="L16" t="s">
        <v>11</v>
      </c>
      <c r="M16" s="3" t="s">
        <v>12</v>
      </c>
      <c r="N16" t="s">
        <v>13</v>
      </c>
      <c r="O16" t="s">
        <v>14</v>
      </c>
      <c r="P16" s="3" t="s">
        <v>15</v>
      </c>
      <c r="Q16" t="s">
        <v>16</v>
      </c>
      <c r="R16" t="s">
        <v>17</v>
      </c>
      <c r="S16" t="s">
        <v>18</v>
      </c>
      <c r="T16" t="s">
        <v>19</v>
      </c>
      <c r="U16" t="s">
        <v>20</v>
      </c>
      <c r="V16" t="s">
        <v>21</v>
      </c>
      <c r="W16" t="s">
        <v>22</v>
      </c>
      <c r="X16" t="s">
        <v>23</v>
      </c>
      <c r="Y16" t="s">
        <v>24</v>
      </c>
      <c r="Z16" s="3" t="s">
        <v>25</v>
      </c>
      <c r="AA16" t="s">
        <v>26</v>
      </c>
      <c r="AB16" t="s">
        <v>27</v>
      </c>
      <c r="AC16" t="s">
        <v>28</v>
      </c>
      <c r="AD16" s="3" t="s">
        <v>29</v>
      </c>
      <c r="AE16" t="s">
        <v>30</v>
      </c>
      <c r="AF16" t="s">
        <v>31</v>
      </c>
      <c r="AG16" t="s">
        <v>32</v>
      </c>
      <c r="AH16" s="3" t="s">
        <v>33</v>
      </c>
      <c r="AI16" t="s">
        <v>34</v>
      </c>
      <c r="AJ16" t="s">
        <v>35</v>
      </c>
      <c r="AK16" t="s">
        <v>36</v>
      </c>
      <c r="AL16" t="s">
        <v>37</v>
      </c>
      <c r="AM16" t="s">
        <v>38</v>
      </c>
      <c r="AN16" t="s">
        <v>39</v>
      </c>
      <c r="AO16" t="s">
        <v>40</v>
      </c>
      <c r="AP16" t="s">
        <v>41</v>
      </c>
      <c r="AQ16" t="s">
        <v>42</v>
      </c>
      <c r="AR16" s="3" t="s">
        <v>43</v>
      </c>
      <c r="AS16" t="s">
        <v>44</v>
      </c>
      <c r="AT16" t="s">
        <v>45</v>
      </c>
      <c r="AU16" t="s">
        <v>46</v>
      </c>
      <c r="AV16" t="s">
        <v>47</v>
      </c>
      <c r="AW16" t="s">
        <v>48</v>
      </c>
      <c r="AX16" t="s">
        <v>49</v>
      </c>
      <c r="AY16" t="s">
        <v>50</v>
      </c>
      <c r="AZ16" t="s">
        <v>51</v>
      </c>
      <c r="BA16" t="s">
        <v>52</v>
      </c>
      <c r="BB16" s="3" t="s">
        <v>53</v>
      </c>
      <c r="BC16" t="s">
        <v>54</v>
      </c>
      <c r="BD16" t="s">
        <v>55</v>
      </c>
      <c r="BE16" t="s">
        <v>56</v>
      </c>
      <c r="BF16" t="s">
        <v>57</v>
      </c>
      <c r="BG16" t="s">
        <v>58</v>
      </c>
      <c r="BH16" t="s">
        <v>59</v>
      </c>
      <c r="BI16" t="s">
        <v>60</v>
      </c>
      <c r="BJ16" t="s">
        <v>61</v>
      </c>
      <c r="BK16" t="s">
        <v>62</v>
      </c>
      <c r="BL16" s="3" t="s">
        <v>63</v>
      </c>
      <c r="BM16" t="s">
        <v>64</v>
      </c>
      <c r="BN16" t="s">
        <v>65</v>
      </c>
      <c r="BO16" t="s">
        <v>66</v>
      </c>
      <c r="BP16" t="s">
        <v>67</v>
      </c>
      <c r="BQ16" t="s">
        <v>68</v>
      </c>
      <c r="BR16" t="s">
        <v>69</v>
      </c>
      <c r="BS16" t="s">
        <v>70</v>
      </c>
      <c r="BT16" t="s">
        <v>71</v>
      </c>
      <c r="BU16" s="3" t="s">
        <v>72</v>
      </c>
      <c r="BV16" t="s">
        <v>73</v>
      </c>
      <c r="BW16" t="s">
        <v>74</v>
      </c>
      <c r="BX16" t="s">
        <v>75</v>
      </c>
      <c r="BY16" t="s">
        <v>76</v>
      </c>
      <c r="BZ16" t="s">
        <v>77</v>
      </c>
      <c r="CA16" s="3" t="s">
        <v>78</v>
      </c>
    </row>
    <row r="17" spans="1:79" s="4" customFormat="1" x14ac:dyDescent="0.2">
      <c r="A17" s="4" t="s">
        <v>160</v>
      </c>
      <c r="B17" s="5">
        <f>B4/$CA4</f>
        <v>5.4952918280288587E-2</v>
      </c>
      <c r="C17" s="4">
        <f>C4/$B4</f>
        <v>8.6570794877298424E-3</v>
      </c>
      <c r="D17" s="4">
        <f t="shared" ref="D17:L17" si="0">D4/$B4</f>
        <v>5.5805966945696499E-2</v>
      </c>
      <c r="E17" s="4">
        <f t="shared" si="0"/>
        <v>7.6912069829004795E-2</v>
      </c>
      <c r="F17" s="4">
        <f t="shared" si="0"/>
        <v>0.13250339844029477</v>
      </c>
      <c r="G17" s="4">
        <f t="shared" si="0"/>
        <v>9.0505831008084708E-2</v>
      </c>
      <c r="H17" s="4">
        <f t="shared" si="0"/>
        <v>0.18609143593045718</v>
      </c>
      <c r="I17" s="4">
        <f t="shared" si="0"/>
        <v>3.4556771839450523E-2</v>
      </c>
      <c r="J17" s="4">
        <f t="shared" si="0"/>
        <v>0.14130357015096229</v>
      </c>
      <c r="K17" s="4">
        <f t="shared" si="0"/>
        <v>6.5750876439865491E-2</v>
      </c>
      <c r="L17" s="4">
        <f t="shared" si="0"/>
        <v>0.20805609215139156</v>
      </c>
      <c r="M17" s="5">
        <f>M4/$CA4</f>
        <v>1.2860484774617154E-2</v>
      </c>
      <c r="N17" s="4">
        <f>N4/$M4</f>
        <v>0.6851115866707429</v>
      </c>
      <c r="O17" s="4">
        <f>O4/$M4</f>
        <v>0.31397126261082237</v>
      </c>
      <c r="P17" s="5">
        <f>P4/$CA4</f>
        <v>1.2604926379523875E-2</v>
      </c>
      <c r="Q17" s="4">
        <f>Q4/$P4</f>
        <v>1.5595757953836558E-3</v>
      </c>
      <c r="R17" s="4">
        <f t="shared" ref="R17:Y17" si="1">R4/$P4</f>
        <v>2.7448533998752338E-2</v>
      </c>
      <c r="S17" s="4">
        <f t="shared" si="1"/>
        <v>3.1815346225826574E-2</v>
      </c>
      <c r="T17" s="4">
        <f t="shared" si="1"/>
        <v>0.25452276980661259</v>
      </c>
      <c r="U17" s="4">
        <f t="shared" si="1"/>
        <v>6.6126013724267005E-2</v>
      </c>
      <c r="V17" s="4">
        <f t="shared" si="1"/>
        <v>3.0879600748596383E-2</v>
      </c>
      <c r="W17" s="4">
        <f t="shared" si="1"/>
        <v>9.7005614472863377E-2</v>
      </c>
      <c r="X17" s="4">
        <f t="shared" si="1"/>
        <v>0.31721771678103555</v>
      </c>
      <c r="Y17" s="4">
        <f t="shared" si="1"/>
        <v>0.17186525265127886</v>
      </c>
      <c r="Z17" s="5">
        <f>Z4/$CA4</f>
        <v>9.2803082427411587E-2</v>
      </c>
      <c r="AA17" s="4">
        <f>AA4/$Z4</f>
        <v>2.1606507371631925E-3</v>
      </c>
      <c r="AB17" s="4">
        <f t="shared" ref="AB17:AC17" si="2">AB4/$Z4</f>
        <v>0.98775631248940854</v>
      </c>
      <c r="AC17" s="4">
        <f t="shared" si="2"/>
        <v>1.0083036773428233E-2</v>
      </c>
      <c r="AD17" s="5">
        <f>AD4/$CA4</f>
        <v>2.7521673317737719E-3</v>
      </c>
      <c r="AE17" s="4">
        <f>AE4/$AD4</f>
        <v>8.7142857142857147E-2</v>
      </c>
      <c r="AF17" s="4">
        <f>AF4/$AD4</f>
        <v>0.85142857142857142</v>
      </c>
      <c r="AG17" s="4">
        <f t="shared" ref="AG17" si="3">AG4/$AD4</f>
        <v>6.2857142857142861E-2</v>
      </c>
      <c r="AH17" s="5">
        <f>AH4/$CA4</f>
        <v>0.10892685132398908</v>
      </c>
      <c r="AI17" s="4">
        <f>AI4/$AH4</f>
        <v>8.6987908319797871E-2</v>
      </c>
      <c r="AJ17" s="4">
        <f t="shared" ref="AJ17:AQ17" si="4">AJ4/$AH4</f>
        <v>5.6560187691752389E-2</v>
      </c>
      <c r="AK17" s="4">
        <f t="shared" si="4"/>
        <v>3.5986284064248329E-2</v>
      </c>
      <c r="AL17" s="4">
        <f t="shared" si="4"/>
        <v>0.40519761775852736</v>
      </c>
      <c r="AM17" s="4">
        <f t="shared" si="4"/>
        <v>0.10604584010106478</v>
      </c>
      <c r="AN17" s="4">
        <f t="shared" si="4"/>
        <v>6.0711062985020756E-2</v>
      </c>
      <c r="AO17" s="4">
        <f t="shared" si="4"/>
        <v>7.0673163688864823E-2</v>
      </c>
      <c r="AP17" s="4">
        <f t="shared" si="4"/>
        <v>7.0276123443421767E-2</v>
      </c>
      <c r="AQ17" s="4">
        <f t="shared" si="4"/>
        <v>0.10748962281176683</v>
      </c>
      <c r="AR17" s="5">
        <f>AR4/$CA4</f>
        <v>0.11096345514950166</v>
      </c>
      <c r="AS17" s="4">
        <f>AS4/$AR4</f>
        <v>5.8108634801403115E-3</v>
      </c>
      <c r="AT17" s="4">
        <f t="shared" ref="AT17:BA17" si="5">AT4/$AR4</f>
        <v>0.12043368883534705</v>
      </c>
      <c r="AU17" s="4">
        <f t="shared" si="5"/>
        <v>4.6238883180384792E-2</v>
      </c>
      <c r="AV17" s="4">
        <f t="shared" si="5"/>
        <v>0.10626085107890727</v>
      </c>
      <c r="AW17" s="4">
        <f t="shared" si="5"/>
        <v>0.12674060163696277</v>
      </c>
      <c r="AX17" s="4">
        <f t="shared" si="5"/>
        <v>0.13630726712255961</v>
      </c>
      <c r="AY17" s="4">
        <f t="shared" si="5"/>
        <v>8.971406299826383E-2</v>
      </c>
      <c r="AZ17" s="4">
        <f t="shared" si="5"/>
        <v>9.5347766006448648E-2</v>
      </c>
      <c r="BA17" s="4">
        <f t="shared" si="5"/>
        <v>0.27318144775537684</v>
      </c>
      <c r="BB17" s="5">
        <f>BB4/$CA4</f>
        <v>0.40626707818121055</v>
      </c>
      <c r="BC17" s="4">
        <f>BC4/$BB4</f>
        <v>4.286184337862424E-2</v>
      </c>
      <c r="BD17" s="4">
        <f t="shared" ref="BD17:BK17" si="6">BD4/$BB4</f>
        <v>7.4178376495180581E-2</v>
      </c>
      <c r="BE17" s="4">
        <f t="shared" si="6"/>
        <v>5.7581388146943835E-3</v>
      </c>
      <c r="BF17" s="4">
        <f t="shared" si="6"/>
        <v>0.14011148530948786</v>
      </c>
      <c r="BG17" s="4">
        <f t="shared" si="6"/>
        <v>9.4578639724383545E-2</v>
      </c>
      <c r="BH17" s="4">
        <f t="shared" si="6"/>
        <v>0.14127279061665313</v>
      </c>
      <c r="BI17" s="4">
        <f t="shared" si="6"/>
        <v>0.12666937637905004</v>
      </c>
      <c r="BJ17" s="4">
        <f t="shared" si="6"/>
        <v>0.33302365191808925</v>
      </c>
      <c r="BK17" s="4">
        <f t="shared" si="6"/>
        <v>4.1565052452289704E-2</v>
      </c>
      <c r="BL17" s="5">
        <f>BL4/$CA4</f>
        <v>0.15870176335292616</v>
      </c>
      <c r="BM17" s="4">
        <f>BM4/$BL4</f>
        <v>4.1149510714728103E-2</v>
      </c>
      <c r="BN17" s="4">
        <f t="shared" ref="BN17:BT17" si="7">BN4/$BL4</f>
        <v>0.10593335810727116</v>
      </c>
      <c r="BO17" s="4">
        <f t="shared" si="7"/>
        <v>3.6219497089062309E-2</v>
      </c>
      <c r="BP17" s="4">
        <f t="shared" si="7"/>
        <v>0.21332837854576986</v>
      </c>
      <c r="BQ17" s="4">
        <f t="shared" si="7"/>
        <v>5.4552211073950203E-2</v>
      </c>
      <c r="BR17" s="4">
        <f t="shared" si="7"/>
        <v>0.16737272389446303</v>
      </c>
      <c r="BS17" s="4">
        <f t="shared" si="7"/>
        <v>4.5906106775671994E-2</v>
      </c>
      <c r="BT17" s="4">
        <f t="shared" si="7"/>
        <v>0.33561253561253562</v>
      </c>
      <c r="BU17" s="5">
        <f>BU4/$CA4</f>
        <v>3.9167272798757591E-2</v>
      </c>
      <c r="BV17" s="4">
        <f>BV4/$BU4</f>
        <v>4.015257980325236E-4</v>
      </c>
      <c r="BW17" s="4">
        <f t="shared" ref="BW17:BZ17" si="8">BW4/$BU4</f>
        <v>4.1156394298333667E-3</v>
      </c>
      <c r="BX17" s="4">
        <f t="shared" si="8"/>
        <v>7.0267014655691631E-4</v>
      </c>
      <c r="BY17" s="4">
        <f t="shared" si="8"/>
        <v>0.74964866492672155</v>
      </c>
      <c r="BZ17" s="4">
        <f t="shared" si="8"/>
        <v>0.2449307367998394</v>
      </c>
      <c r="CA17" s="5">
        <f>SUM(B17,M17,P17,Z17,AD17,AH17,AR17,BB17,BL17,BU17)</f>
        <v>1</v>
      </c>
    </row>
    <row r="18" spans="1:79" s="4" customFormat="1" x14ac:dyDescent="0.2">
      <c r="A18" s="4" t="s">
        <v>161</v>
      </c>
      <c r="B18" s="5">
        <f t="shared" ref="B18:B26" si="9">B5/$CA5</f>
        <v>4.9616533294483699E-2</v>
      </c>
      <c r="C18" s="4">
        <f t="shared" ref="C18:L18" si="10">C5/$B5</f>
        <v>1.0836129753914989E-2</v>
      </c>
      <c r="D18" s="4">
        <f t="shared" si="10"/>
        <v>5.823545861297539E-2</v>
      </c>
      <c r="E18" s="4">
        <f t="shared" si="10"/>
        <v>9.2351789709172266E-2</v>
      </c>
      <c r="F18" s="4">
        <f t="shared" si="10"/>
        <v>0.1363255033557047</v>
      </c>
      <c r="G18" s="4">
        <f t="shared" si="10"/>
        <v>9.1512863534675609E-2</v>
      </c>
      <c r="H18" s="4">
        <f t="shared" si="10"/>
        <v>0.18763982102908278</v>
      </c>
      <c r="I18" s="4">
        <f t="shared" si="10"/>
        <v>3.2158836689038031E-2</v>
      </c>
      <c r="J18" s="4">
        <f t="shared" si="10"/>
        <v>0.14380592841163312</v>
      </c>
      <c r="K18" s="4">
        <f t="shared" si="10"/>
        <v>6.5645973154362422E-2</v>
      </c>
      <c r="L18" s="4">
        <f t="shared" si="10"/>
        <v>0.18127796420581654</v>
      </c>
      <c r="M18" s="5">
        <f t="shared" ref="M18:M26" si="11">M5/$CA5</f>
        <v>1.1394736568259154E-2</v>
      </c>
      <c r="N18" s="4">
        <f t="shared" ref="N18:O18" si="12">N5/$M5</f>
        <v>0.69406392694063923</v>
      </c>
      <c r="O18" s="4">
        <f t="shared" si="12"/>
        <v>0.30624048706240486</v>
      </c>
      <c r="P18" s="5">
        <f t="shared" ref="P18:P26" si="13">P5/$CA5</f>
        <v>1.2293134367704853E-2</v>
      </c>
      <c r="Q18" s="4">
        <f t="shared" ref="Q18:Y18" si="14">Q5/$P5</f>
        <v>8.4650112866817154E-4</v>
      </c>
      <c r="R18" s="4">
        <f t="shared" si="14"/>
        <v>3.1320541760722347E-2</v>
      </c>
      <c r="S18" s="4">
        <f t="shared" si="14"/>
        <v>4.6557562076749437E-2</v>
      </c>
      <c r="T18" s="4">
        <f t="shared" si="14"/>
        <v>0.23589164785553046</v>
      </c>
      <c r="U18" s="4">
        <f t="shared" si="14"/>
        <v>6.5462753950338598E-2</v>
      </c>
      <c r="V18" s="4">
        <f t="shared" si="14"/>
        <v>2.5677200902934537E-2</v>
      </c>
      <c r="W18" s="4">
        <f t="shared" si="14"/>
        <v>8.0699774266365695E-2</v>
      </c>
      <c r="X18" s="4">
        <f t="shared" si="14"/>
        <v>0.34452595936794583</v>
      </c>
      <c r="Y18" s="4">
        <f t="shared" si="14"/>
        <v>0.16845372460496613</v>
      </c>
      <c r="Z18" s="5">
        <f t="shared" ref="Z18:Z26" si="15">Z5/$CA5</f>
        <v>0.10338512128370292</v>
      </c>
      <c r="AA18" s="4">
        <f t="shared" ref="AA18:AC18" si="16">AA5/$Z5</f>
        <v>4.6636470390874016E-3</v>
      </c>
      <c r="AB18" s="4">
        <f t="shared" si="16"/>
        <v>0.98523737627914776</v>
      </c>
      <c r="AC18" s="4">
        <f t="shared" si="16"/>
        <v>1.0166079516859588E-2</v>
      </c>
      <c r="AD18" s="5">
        <f t="shared" ref="AD18:AD26" si="17">AD5/$CA5</f>
        <v>2.4350395954088055E-3</v>
      </c>
      <c r="AE18" s="4">
        <f t="shared" ref="AE18:AG18" si="18">AE5/$AD5</f>
        <v>7.9772079772079771E-2</v>
      </c>
      <c r="AF18" s="4">
        <f t="shared" si="18"/>
        <v>0.84188034188034189</v>
      </c>
      <c r="AG18" s="4">
        <f t="shared" si="18"/>
        <v>7.5498575498575499E-2</v>
      </c>
      <c r="AH18" s="5">
        <f t="shared" ref="AH18:AH26" si="19">AH5/$CA5</f>
        <v>9.7311397164670424E-2</v>
      </c>
      <c r="AI18" s="4">
        <f t="shared" ref="AI18:AQ18" si="20">AI5/$AH5</f>
        <v>8.4230412775361807E-2</v>
      </c>
      <c r="AJ18" s="4">
        <f t="shared" si="20"/>
        <v>5.624866329222214E-2</v>
      </c>
      <c r="AK18" s="4">
        <f t="shared" si="20"/>
        <v>3.6322806016967274E-2</v>
      </c>
      <c r="AL18" s="4">
        <f t="shared" si="20"/>
        <v>0.39702003279389747</v>
      </c>
      <c r="AM18" s="4">
        <f t="shared" si="20"/>
        <v>0.10993084765095887</v>
      </c>
      <c r="AN18" s="4">
        <f t="shared" si="20"/>
        <v>5.8458686818279031E-2</v>
      </c>
      <c r="AO18" s="4">
        <f t="shared" si="20"/>
        <v>7.5176445426677119E-2</v>
      </c>
      <c r="AP18" s="4">
        <f t="shared" si="20"/>
        <v>7.1077208241249024E-2</v>
      </c>
      <c r="AQ18" s="4">
        <f t="shared" si="20"/>
        <v>0.11160618806587295</v>
      </c>
      <c r="AR18" s="5">
        <f t="shared" ref="AR18:AR26" si="21">AR5/$CA5</f>
        <v>9.9555657304598477E-2</v>
      </c>
      <c r="AS18" s="4">
        <f t="shared" ref="AS18:BA18" si="22">AS5/$AR5</f>
        <v>5.5747186509180861E-3</v>
      </c>
      <c r="AT18" s="4">
        <f t="shared" si="22"/>
        <v>0.12473432981429218</v>
      </c>
      <c r="AU18" s="4">
        <f t="shared" si="22"/>
        <v>4.9057524128079164E-2</v>
      </c>
      <c r="AV18" s="4">
        <f t="shared" si="22"/>
        <v>0.10226124525277865</v>
      </c>
      <c r="AW18" s="4">
        <f t="shared" si="22"/>
        <v>0.12557053761192991</v>
      </c>
      <c r="AX18" s="4">
        <f t="shared" si="22"/>
        <v>0.13219051600989512</v>
      </c>
      <c r="AY18" s="4">
        <f t="shared" si="22"/>
        <v>0.10658165220724017</v>
      </c>
      <c r="AZ18" s="4">
        <f t="shared" si="22"/>
        <v>8.6373297097662102E-2</v>
      </c>
      <c r="BA18" s="4">
        <f t="shared" si="22"/>
        <v>0.26776070520190937</v>
      </c>
      <c r="BB18" s="5">
        <f t="shared" ref="BB18:BB26" si="23">BB5/$CA5</f>
        <v>0.40907624587656222</v>
      </c>
      <c r="BC18" s="4">
        <f t="shared" ref="BC18:BK18" si="24">BC5/$BB5</f>
        <v>4.0387338573596873E-2</v>
      </c>
      <c r="BD18" s="4">
        <f t="shared" si="24"/>
        <v>7.5212196755785068E-2</v>
      </c>
      <c r="BE18" s="4">
        <f t="shared" si="24"/>
        <v>5.4183307471191268E-3</v>
      </c>
      <c r="BF18" s="4">
        <f t="shared" si="24"/>
        <v>0.11345424944671975</v>
      </c>
      <c r="BG18" s="4">
        <f t="shared" si="24"/>
        <v>8.8940330526654968E-2</v>
      </c>
      <c r="BH18" s="4">
        <f t="shared" si="24"/>
        <v>0.13214282685931841</v>
      </c>
      <c r="BI18" s="4">
        <f t="shared" si="24"/>
        <v>0.12411284373330619</v>
      </c>
      <c r="BJ18" s="4">
        <f t="shared" si="24"/>
        <v>0.31634911347968764</v>
      </c>
      <c r="BK18" s="4">
        <f t="shared" si="24"/>
        <v>0.10400820805033366</v>
      </c>
      <c r="BL18" s="5">
        <f t="shared" ref="BL18:BL26" si="25">BL5/$CA5</f>
        <v>0.14072933251471603</v>
      </c>
      <c r="BM18" s="4">
        <f t="shared" ref="BM18:BT18" si="26">BM5/$BL5</f>
        <v>4.0151832589780875E-2</v>
      </c>
      <c r="BN18" s="4">
        <f t="shared" si="26"/>
        <v>0.10490251657587932</v>
      </c>
      <c r="BO18" s="4">
        <f t="shared" si="26"/>
        <v>3.7884203002144387E-2</v>
      </c>
      <c r="BP18" s="4">
        <f t="shared" si="26"/>
        <v>0.21532621823469966</v>
      </c>
      <c r="BQ18" s="4">
        <f t="shared" si="26"/>
        <v>5.3659017524833007E-2</v>
      </c>
      <c r="BR18" s="4">
        <f t="shared" si="26"/>
        <v>0.16129747849449114</v>
      </c>
      <c r="BS18" s="4">
        <f t="shared" si="26"/>
        <v>4.4884276946587462E-2</v>
      </c>
      <c r="BT18" s="4">
        <f t="shared" si="26"/>
        <v>0.34179586404081735</v>
      </c>
      <c r="BU18" s="5">
        <f t="shared" ref="BU18:BU26" si="27">BU5/$CA5</f>
        <v>7.4220145616755287E-2</v>
      </c>
      <c r="BV18" s="4">
        <f t="shared" ref="BV18:BZ18" si="28">BV5/$BU5</f>
        <v>5.6082628405851288E-4</v>
      </c>
      <c r="BW18" s="4">
        <f t="shared" si="28"/>
        <v>9.8144599710239745E-4</v>
      </c>
      <c r="BX18" s="4">
        <f t="shared" si="28"/>
        <v>1.4020657101462822E-4</v>
      </c>
      <c r="BY18" s="4">
        <f t="shared" si="28"/>
        <v>0.29069495723699584</v>
      </c>
      <c r="BZ18" s="4">
        <f t="shared" si="28"/>
        <v>0.70757582838715705</v>
      </c>
      <c r="CA18" s="5">
        <f t="shared" ref="CA18:CA26" si="29">SUM(B18,M18,P18,Z18,AD18,AH18,AR18,BB18,BL18,BU18)</f>
        <v>1.0000173435868618</v>
      </c>
    </row>
    <row r="19" spans="1:79" s="4" customFormat="1" x14ac:dyDescent="0.2">
      <c r="A19" s="4" t="s">
        <v>162</v>
      </c>
      <c r="B19" s="5">
        <f t="shared" si="9"/>
        <v>4.9768130241736555E-2</v>
      </c>
      <c r="C19" s="4">
        <f t="shared" ref="C19:L19" si="30">C6/$B6</f>
        <v>1.1102299762093577E-2</v>
      </c>
      <c r="D19" s="4">
        <f t="shared" si="30"/>
        <v>5.4321966693100715E-2</v>
      </c>
      <c r="E19" s="4">
        <f t="shared" si="30"/>
        <v>9.3840867036743325E-2</v>
      </c>
      <c r="F19" s="4">
        <f t="shared" si="30"/>
        <v>0.13302934179222839</v>
      </c>
      <c r="G19" s="4">
        <f t="shared" si="30"/>
        <v>9.7739888977002379E-2</v>
      </c>
      <c r="H19" s="4">
        <f t="shared" si="30"/>
        <v>0.17492730637060533</v>
      </c>
      <c r="I19" s="4">
        <f t="shared" si="30"/>
        <v>3.191911181601903E-2</v>
      </c>
      <c r="J19" s="4">
        <f t="shared" si="30"/>
        <v>0.13421887390959555</v>
      </c>
      <c r="K19" s="4">
        <f t="shared" si="30"/>
        <v>7.2693629394660328E-2</v>
      </c>
      <c r="L19" s="4">
        <f t="shared" si="30"/>
        <v>0.19627279936558287</v>
      </c>
      <c r="M19" s="5">
        <f t="shared" si="11"/>
        <v>1.1646110837033383E-2</v>
      </c>
      <c r="N19" s="4">
        <f t="shared" ref="N19:O19" si="31">N6/$M6</f>
        <v>0.70036712792996325</v>
      </c>
      <c r="O19" s="4">
        <f t="shared" si="31"/>
        <v>0.30019768426998023</v>
      </c>
      <c r="P19" s="5">
        <f t="shared" si="13"/>
        <v>1.3106396974181879E-2</v>
      </c>
      <c r="Q19" s="4">
        <f t="shared" ref="Q19:Y19" si="32">Q6/$P6</f>
        <v>5.018820577164366E-4</v>
      </c>
      <c r="R19" s="4">
        <f t="shared" si="32"/>
        <v>2.8858218318695106E-2</v>
      </c>
      <c r="S19" s="4">
        <f t="shared" si="32"/>
        <v>4.0150564617314928E-2</v>
      </c>
      <c r="T19" s="4">
        <f t="shared" si="32"/>
        <v>0.2612296110414053</v>
      </c>
      <c r="U19" s="4">
        <f t="shared" si="32"/>
        <v>7.1267252195734002E-2</v>
      </c>
      <c r="V19" s="4">
        <f t="shared" si="32"/>
        <v>2.4843161856963614E-2</v>
      </c>
      <c r="W19" s="4">
        <f t="shared" si="32"/>
        <v>7.9297365119196994E-2</v>
      </c>
      <c r="X19" s="4">
        <f t="shared" si="32"/>
        <v>0.32772898368883313</v>
      </c>
      <c r="Y19" s="4">
        <f t="shared" si="32"/>
        <v>0.16612296110414052</v>
      </c>
      <c r="Z19" s="5">
        <f t="shared" si="15"/>
        <v>0.13324124321657621</v>
      </c>
      <c r="AA19" s="4">
        <f t="shared" ref="AA19:AC19" si="33">AA6/$Z6</f>
        <v>4.3937598736176935E-3</v>
      </c>
      <c r="AB19" s="4">
        <f t="shared" si="33"/>
        <v>0.98605351500789884</v>
      </c>
      <c r="AC19" s="4">
        <f t="shared" si="33"/>
        <v>9.6267772511848346E-3</v>
      </c>
      <c r="AD19" s="5">
        <f t="shared" si="17"/>
        <v>2.4864331524420327E-3</v>
      </c>
      <c r="AE19" s="4">
        <f t="shared" ref="AE19:AG19" si="34">AE6/$AD6</f>
        <v>9.2592592592592587E-2</v>
      </c>
      <c r="AF19" s="4">
        <f t="shared" si="34"/>
        <v>0.82936507936507942</v>
      </c>
      <c r="AG19" s="4">
        <f t="shared" si="34"/>
        <v>7.1428571428571425E-2</v>
      </c>
      <c r="AH19" s="5">
        <f t="shared" si="19"/>
        <v>9.8131886202927149E-2</v>
      </c>
      <c r="AI19" s="4">
        <f t="shared" ref="AI19:AQ19" si="35">AI6/$AH6</f>
        <v>8.4023192680229244E-2</v>
      </c>
      <c r="AJ19" s="4">
        <f t="shared" si="35"/>
        <v>3.710158528002145E-2</v>
      </c>
      <c r="AK19" s="4">
        <f t="shared" si="35"/>
        <v>3.7235647015450617E-2</v>
      </c>
      <c r="AL19" s="4">
        <f t="shared" si="35"/>
        <v>0.39487884170660587</v>
      </c>
      <c r="AM19" s="4">
        <f t="shared" si="35"/>
        <v>0.12048798471696216</v>
      </c>
      <c r="AN19" s="4">
        <f t="shared" si="35"/>
        <v>6.4182055836712812E-2</v>
      </c>
      <c r="AO19" s="4">
        <f t="shared" si="35"/>
        <v>8.2447967288936552E-2</v>
      </c>
      <c r="AP19" s="4">
        <f t="shared" si="35"/>
        <v>7.3599892750611656E-2</v>
      </c>
      <c r="AQ19" s="4">
        <f t="shared" si="35"/>
        <v>0.10594228642289774</v>
      </c>
      <c r="AR19" s="5">
        <f t="shared" si="21"/>
        <v>0.10670284492682125</v>
      </c>
      <c r="AS19" s="4">
        <f t="shared" ref="AS19:BA19" si="36">AS6/$AR6</f>
        <v>4.7467866720093703E-3</v>
      </c>
      <c r="AT19" s="4">
        <f t="shared" si="36"/>
        <v>0.12224516844928028</v>
      </c>
      <c r="AU19" s="4">
        <f t="shared" si="36"/>
        <v>4.9193970964460744E-2</v>
      </c>
      <c r="AV19" s="4">
        <f t="shared" si="36"/>
        <v>9.7494066516659983E-2</v>
      </c>
      <c r="AW19" s="4">
        <f t="shared" si="36"/>
        <v>0.11762167493758284</v>
      </c>
      <c r="AX19" s="4">
        <f t="shared" si="36"/>
        <v>0.12446444533489505</v>
      </c>
      <c r="AY19" s="4">
        <f t="shared" si="36"/>
        <v>0.12024165459421139</v>
      </c>
      <c r="AZ19" s="4">
        <f t="shared" si="36"/>
        <v>8.5534629966402612E-2</v>
      </c>
      <c r="BA19" s="4">
        <f t="shared" si="36"/>
        <v>0.27861171901488763</v>
      </c>
      <c r="BB19" s="5">
        <f t="shared" si="23"/>
        <v>0.39928959052787372</v>
      </c>
      <c r="BC19" s="4">
        <f t="shared" ref="BC19:BK19" si="37">BC6/$BB6</f>
        <v>4.8894599848439919E-2</v>
      </c>
      <c r="BD19" s="4">
        <f t="shared" si="37"/>
        <v>8.6356297980297189E-2</v>
      </c>
      <c r="BE19" s="4">
        <f t="shared" si="37"/>
        <v>6.185957629073177E-3</v>
      </c>
      <c r="BF19" s="4">
        <f t="shared" si="37"/>
        <v>0.12315903924088169</v>
      </c>
      <c r="BG19" s="4">
        <f t="shared" si="37"/>
        <v>9.8077493328061677E-2</v>
      </c>
      <c r="BH19" s="4">
        <f t="shared" si="37"/>
        <v>0.14139567065335573</v>
      </c>
      <c r="BI19" s="4">
        <f t="shared" si="37"/>
        <v>0.13857039306777372</v>
      </c>
      <c r="BJ19" s="4">
        <f t="shared" si="37"/>
        <v>0.32199103818655067</v>
      </c>
      <c r="BK19" s="4">
        <f t="shared" si="37"/>
        <v>3.5369510065566212E-2</v>
      </c>
      <c r="BL19" s="5">
        <f t="shared" si="25"/>
        <v>0.14569643150797565</v>
      </c>
      <c r="BM19" s="4">
        <f t="shared" ref="BM19:BT19" si="38">BM6/$BL6</f>
        <v>4.0384658795909613E-2</v>
      </c>
      <c r="BN19" s="4">
        <f t="shared" si="38"/>
        <v>0.11002505699902933</v>
      </c>
      <c r="BO19" s="4">
        <f t="shared" si="38"/>
        <v>4.16036479378767E-2</v>
      </c>
      <c r="BP19" s="4">
        <f t="shared" si="38"/>
        <v>0.21397774216122259</v>
      </c>
      <c r="BQ19" s="4">
        <f t="shared" si="38"/>
        <v>5.2461680850583538E-2</v>
      </c>
      <c r="BR19" s="4">
        <f t="shared" si="38"/>
        <v>0.16623400076751169</v>
      </c>
      <c r="BS19" s="4">
        <f t="shared" si="38"/>
        <v>4.3657870380821237E-2</v>
      </c>
      <c r="BT19" s="4">
        <f t="shared" si="38"/>
        <v>0.33163276823404592</v>
      </c>
      <c r="BU19" s="5">
        <f t="shared" si="27"/>
        <v>3.9927643479690841E-2</v>
      </c>
      <c r="BV19" s="4">
        <f t="shared" ref="BV19:BZ19" si="39">BV6/$BU6</f>
        <v>4.1186161449752884E-4</v>
      </c>
      <c r="BW19" s="4">
        <f t="shared" si="39"/>
        <v>2.4711696869851728E-3</v>
      </c>
      <c r="BX19" s="4">
        <f t="shared" si="39"/>
        <v>5.7660626029654041E-4</v>
      </c>
      <c r="BY19" s="4">
        <f t="shared" si="39"/>
        <v>0.52594728171334426</v>
      </c>
      <c r="BZ19" s="4">
        <f t="shared" si="39"/>
        <v>0.47042833607907741</v>
      </c>
      <c r="CA19" s="5">
        <f t="shared" si="29"/>
        <v>0.99999671106725863</v>
      </c>
    </row>
    <row r="20" spans="1:79" s="4" customFormat="1" x14ac:dyDescent="0.2">
      <c r="A20" s="4" t="s">
        <v>163</v>
      </c>
      <c r="B20" s="5">
        <f t="shared" si="9"/>
        <v>5.507415078572845E-2</v>
      </c>
      <c r="C20" s="4">
        <f t="shared" ref="C20:L20" si="40">C7/$B7</f>
        <v>8.5606328964458606E-3</v>
      </c>
      <c r="D20" s="4">
        <f t="shared" si="40"/>
        <v>6.0750974140984765E-2</v>
      </c>
      <c r="E20" s="4">
        <f t="shared" si="40"/>
        <v>8.7200377848624389E-2</v>
      </c>
      <c r="F20" s="4">
        <f t="shared" si="40"/>
        <v>0.12008501594048884</v>
      </c>
      <c r="G20" s="4">
        <f t="shared" si="40"/>
        <v>0.11311843192820877</v>
      </c>
      <c r="H20" s="4">
        <f t="shared" si="40"/>
        <v>0.16566300625811783</v>
      </c>
      <c r="I20" s="4">
        <f t="shared" si="40"/>
        <v>2.8633841067422363E-2</v>
      </c>
      <c r="J20" s="4">
        <f t="shared" si="40"/>
        <v>0.12581178415397332</v>
      </c>
      <c r="K20" s="4">
        <f t="shared" si="40"/>
        <v>7.3090093281379151E-2</v>
      </c>
      <c r="L20" s="4">
        <f t="shared" si="40"/>
        <v>0.2171448813319164</v>
      </c>
      <c r="M20" s="5">
        <f t="shared" si="11"/>
        <v>1.2349251663962491E-2</v>
      </c>
      <c r="N20" s="4">
        <f t="shared" ref="N20:O20" si="41">N7/$M7</f>
        <v>0.70774091627172198</v>
      </c>
      <c r="O20" s="4">
        <f t="shared" si="41"/>
        <v>0.29304897314375988</v>
      </c>
      <c r="P20" s="5">
        <f t="shared" si="13"/>
        <v>1.0203252164695706E-2</v>
      </c>
      <c r="Q20" s="4">
        <f t="shared" ref="Q20:Y20" si="42">Q7/$P7</f>
        <v>2.2307202039515616E-3</v>
      </c>
      <c r="R20" s="4">
        <f t="shared" si="42"/>
        <v>4.0471637985978332E-2</v>
      </c>
      <c r="S20" s="4">
        <f t="shared" si="42"/>
        <v>4.6845124282982792E-2</v>
      </c>
      <c r="T20" s="4">
        <f t="shared" si="42"/>
        <v>0.25525812619502869</v>
      </c>
      <c r="U20" s="4">
        <f t="shared" si="42"/>
        <v>8.2855321861057998E-2</v>
      </c>
      <c r="V20" s="4">
        <f t="shared" si="42"/>
        <v>3.1230082855321861E-2</v>
      </c>
      <c r="W20" s="4">
        <f t="shared" si="42"/>
        <v>9.1140854047163794E-2</v>
      </c>
      <c r="X20" s="4">
        <f t="shared" si="42"/>
        <v>0.23709369024856597</v>
      </c>
      <c r="Y20" s="4">
        <f t="shared" si="42"/>
        <v>0.21191841937539835</v>
      </c>
      <c r="Z20" s="5">
        <f t="shared" si="15"/>
        <v>0.12613924935538728</v>
      </c>
      <c r="AA20" s="4">
        <f t="shared" ref="AA20:AC20" si="43">AA7/$Z7</f>
        <v>5.2327679538072894E-3</v>
      </c>
      <c r="AB20" s="4">
        <f t="shared" si="43"/>
        <v>0.98873537144919321</v>
      </c>
      <c r="AC20" s="4">
        <f t="shared" si="43"/>
        <v>6.0834149610764551E-3</v>
      </c>
      <c r="AD20" s="5">
        <f t="shared" si="17"/>
        <v>2.3573479348006333E-3</v>
      </c>
      <c r="AE20" s="4">
        <f t="shared" ref="AE20:AG20" si="44">AE7/$AD7</f>
        <v>0.11448275862068966</v>
      </c>
      <c r="AF20" s="4">
        <f t="shared" si="44"/>
        <v>0.79862068965517241</v>
      </c>
      <c r="AG20" s="4">
        <f t="shared" si="44"/>
        <v>8.827586206896551E-2</v>
      </c>
      <c r="AH20" s="5">
        <f t="shared" si="19"/>
        <v>0.10087498252311014</v>
      </c>
      <c r="AI20" s="4">
        <f t="shared" ref="AI20:AQ20" si="45">AI7/$AH7</f>
        <v>7.2846828261990723E-2</v>
      </c>
      <c r="AJ20" s="4">
        <f t="shared" si="45"/>
        <v>3.3232336255801957E-2</v>
      </c>
      <c r="AK20" s="4">
        <f t="shared" si="45"/>
        <v>3.4940691077875195E-2</v>
      </c>
      <c r="AL20" s="4">
        <f t="shared" si="45"/>
        <v>0.42264053635894794</v>
      </c>
      <c r="AM20" s="4">
        <f t="shared" si="45"/>
        <v>0.1245809695719443</v>
      </c>
      <c r="AN20" s="4">
        <f t="shared" si="45"/>
        <v>6.9301186178442498E-2</v>
      </c>
      <c r="AO20" s="4">
        <f t="shared" si="45"/>
        <v>7.1267405879319234E-2</v>
      </c>
      <c r="AP20" s="4">
        <f t="shared" si="45"/>
        <v>7.1750902527075819E-2</v>
      </c>
      <c r="AQ20" s="4">
        <f t="shared" si="45"/>
        <v>9.960030943785457E-2</v>
      </c>
      <c r="AR20" s="5">
        <f t="shared" si="21"/>
        <v>0.10497839368685966</v>
      </c>
      <c r="AS20" s="4">
        <f t="shared" ref="AS20:BA20" si="46">AS7/$AR7</f>
        <v>4.4291643436783741E-3</v>
      </c>
      <c r="AT20" s="4">
        <f t="shared" si="46"/>
        <v>0.13138821780338228</v>
      </c>
      <c r="AU20" s="4">
        <f t="shared" si="46"/>
        <v>4.6986309855664994E-2</v>
      </c>
      <c r="AV20" s="4">
        <f t="shared" si="46"/>
        <v>0.10332651923434306</v>
      </c>
      <c r="AW20" s="4">
        <f t="shared" si="46"/>
        <v>0.11875116149414607</v>
      </c>
      <c r="AX20" s="4">
        <f t="shared" si="46"/>
        <v>0.12729975840921762</v>
      </c>
      <c r="AY20" s="4">
        <f t="shared" si="46"/>
        <v>0.10131326271448925</v>
      </c>
      <c r="AZ20" s="4">
        <f t="shared" si="46"/>
        <v>8.9016911354766776E-2</v>
      </c>
      <c r="BA20" s="4">
        <f t="shared" si="46"/>
        <v>0.27742674843585458</v>
      </c>
      <c r="BB20" s="5">
        <f t="shared" si="23"/>
        <v>0.4008662034342495</v>
      </c>
      <c r="BC20" s="4">
        <f t="shared" ref="BC20:BK20" si="47">BC7/$BB7</f>
        <v>5.1181804908910986E-2</v>
      </c>
      <c r="BD20" s="4">
        <f t="shared" si="47"/>
        <v>8.6692730723683137E-2</v>
      </c>
      <c r="BE20" s="4">
        <f t="shared" si="47"/>
        <v>7.0080949986210924E-3</v>
      </c>
      <c r="BF20" s="4">
        <f t="shared" si="47"/>
        <v>0.12690816475512223</v>
      </c>
      <c r="BG20" s="4">
        <f t="shared" si="47"/>
        <v>9.5201401618999718E-2</v>
      </c>
      <c r="BH20" s="4">
        <f t="shared" si="47"/>
        <v>0.14314682932368639</v>
      </c>
      <c r="BI20" s="4">
        <f t="shared" si="47"/>
        <v>0.14154891877423229</v>
      </c>
      <c r="BJ20" s="4">
        <f t="shared" si="47"/>
        <v>0.3024349885631783</v>
      </c>
      <c r="BK20" s="4">
        <f t="shared" si="47"/>
        <v>4.5909511217818728E-2</v>
      </c>
      <c r="BL20" s="5">
        <f t="shared" si="25"/>
        <v>0.15057112850310031</v>
      </c>
      <c r="BM20" s="4">
        <f t="shared" ref="BM20:BT20" si="48">BM7/$BL7</f>
        <v>3.761769024790533E-2</v>
      </c>
      <c r="BN20" s="4">
        <f t="shared" si="48"/>
        <v>0.1076055973050013</v>
      </c>
      <c r="BO20" s="4">
        <f t="shared" si="48"/>
        <v>4.0727304137514034E-2</v>
      </c>
      <c r="BP20" s="4">
        <f t="shared" si="48"/>
        <v>0.22037228988511703</v>
      </c>
      <c r="BQ20" s="4">
        <f t="shared" si="48"/>
        <v>5.5368402867755032E-2</v>
      </c>
      <c r="BR20" s="4">
        <f t="shared" si="48"/>
        <v>0.16683942299386714</v>
      </c>
      <c r="BS20" s="4">
        <f t="shared" si="48"/>
        <v>4.4873455990325647E-2</v>
      </c>
      <c r="BT20" s="4">
        <f t="shared" si="48"/>
        <v>0.326790187440615</v>
      </c>
      <c r="BU20" s="5">
        <f t="shared" si="27"/>
        <v>3.6582788433713001E-2</v>
      </c>
      <c r="BV20" s="4">
        <f t="shared" ref="BV20:BZ20" si="49">BV7/$BU7</f>
        <v>4.4440494178295264E-4</v>
      </c>
      <c r="BW20" s="4">
        <f t="shared" si="49"/>
        <v>2.9330726157674875E-3</v>
      </c>
      <c r="BX20" s="4">
        <f t="shared" si="49"/>
        <v>1.7776197671318106E-4</v>
      </c>
      <c r="BY20" s="4">
        <f t="shared" si="49"/>
        <v>0.60190205315083101</v>
      </c>
      <c r="BZ20" s="4">
        <f t="shared" si="49"/>
        <v>0.39409830237312238</v>
      </c>
      <c r="CA20" s="5">
        <f t="shared" si="29"/>
        <v>0.99999674848560716</v>
      </c>
    </row>
    <row r="21" spans="1:79" s="4" customFormat="1" x14ac:dyDescent="0.2">
      <c r="A21" s="4" t="s">
        <v>164</v>
      </c>
      <c r="B21" s="5">
        <f t="shared" si="9"/>
        <v>5.9968733289509982E-2</v>
      </c>
      <c r="C21" s="4">
        <f t="shared" ref="C21:L21" si="50">C8/$B8</f>
        <v>8.9169080479354797E-3</v>
      </c>
      <c r="D21" s="4">
        <f t="shared" si="50"/>
        <v>5.1400011359118529E-2</v>
      </c>
      <c r="E21" s="4">
        <f t="shared" si="50"/>
        <v>9.0248196739932979E-2</v>
      </c>
      <c r="F21" s="4">
        <f t="shared" si="50"/>
        <v>0.10688930538990174</v>
      </c>
      <c r="G21" s="4">
        <f t="shared" si="50"/>
        <v>0.11858919747827569</v>
      </c>
      <c r="H21" s="4">
        <f t="shared" si="50"/>
        <v>0.17646390640086329</v>
      </c>
      <c r="I21" s="4">
        <f t="shared" si="50"/>
        <v>2.7773044811722609E-2</v>
      </c>
      <c r="J21" s="4">
        <f t="shared" si="50"/>
        <v>0.12540466859771682</v>
      </c>
      <c r="K21" s="4">
        <f t="shared" si="50"/>
        <v>7.6958028057022773E-2</v>
      </c>
      <c r="L21" s="4">
        <f t="shared" si="50"/>
        <v>0.21718634633952405</v>
      </c>
      <c r="M21" s="5">
        <f t="shared" si="11"/>
        <v>1.1835710125577737E-2</v>
      </c>
      <c r="N21" s="4">
        <f t="shared" ref="N21:O21" si="51">N8/$M8</f>
        <v>0.74388489208633091</v>
      </c>
      <c r="O21" s="4">
        <f t="shared" si="51"/>
        <v>0.2564028776978417</v>
      </c>
      <c r="P21" s="5">
        <f t="shared" si="13"/>
        <v>1.1093210900433579E-2</v>
      </c>
      <c r="Q21" s="4">
        <f t="shared" ref="Q21:Y21" si="52">Q8/$P8</f>
        <v>2.1492170709241634E-3</v>
      </c>
      <c r="R21" s="4">
        <f t="shared" si="52"/>
        <v>4.3291372428615291E-2</v>
      </c>
      <c r="S21" s="4">
        <f t="shared" si="52"/>
        <v>3.7457783236106844E-2</v>
      </c>
      <c r="T21" s="4">
        <f t="shared" si="52"/>
        <v>0.2459318391157507</v>
      </c>
      <c r="U21" s="4">
        <f t="shared" si="52"/>
        <v>7.3687442431685596E-2</v>
      </c>
      <c r="V21" s="4">
        <f t="shared" si="52"/>
        <v>2.9782007982806263E-2</v>
      </c>
      <c r="W21" s="4">
        <f t="shared" si="52"/>
        <v>9.1495241019342949E-2</v>
      </c>
      <c r="X21" s="4">
        <f t="shared" si="52"/>
        <v>0.2671169788148603</v>
      </c>
      <c r="Y21" s="4">
        <f t="shared" si="52"/>
        <v>0.21062327295056801</v>
      </c>
      <c r="Z21" s="5">
        <f t="shared" si="15"/>
        <v>7.8704917865280666E-2</v>
      </c>
      <c r="AA21" s="4">
        <f t="shared" ref="AA21:AC21" si="53">AA8/$Z8</f>
        <v>6.4047083261208242E-3</v>
      </c>
      <c r="AB21" s="4">
        <f t="shared" si="53"/>
        <v>0.98320927817206161</v>
      </c>
      <c r="AC21" s="4">
        <f t="shared" si="53"/>
        <v>1.0472563614332698E-2</v>
      </c>
      <c r="AD21" s="5">
        <f t="shared" si="17"/>
        <v>2.6089651672496533E-3</v>
      </c>
      <c r="AE21" s="4">
        <f t="shared" ref="AE21:AG21" si="54">AE8/$AD8</f>
        <v>0.11096605744125326</v>
      </c>
      <c r="AF21" s="4">
        <f t="shared" si="54"/>
        <v>0.81853785900783294</v>
      </c>
      <c r="AG21" s="4">
        <f t="shared" si="54"/>
        <v>7.1801566579634463E-2</v>
      </c>
      <c r="AH21" s="5">
        <f t="shared" si="19"/>
        <v>0.11338780598290889</v>
      </c>
      <c r="AI21" s="4">
        <f t="shared" ref="AI21:AQ21" si="55">AI8/$AH8</f>
        <v>8.0141780060677056E-2</v>
      </c>
      <c r="AJ21" s="4">
        <f t="shared" si="55"/>
        <v>3.1329788831816405E-2</v>
      </c>
      <c r="AK21" s="4">
        <f t="shared" si="55"/>
        <v>3.2561352918206124E-2</v>
      </c>
      <c r="AL21" s="4">
        <f t="shared" si="55"/>
        <v>0.41458652488660597</v>
      </c>
      <c r="AM21" s="4">
        <f t="shared" si="55"/>
        <v>0.11925144934066265</v>
      </c>
      <c r="AN21" s="4">
        <f t="shared" si="55"/>
        <v>6.3740951007779878E-2</v>
      </c>
      <c r="AO21" s="4">
        <f t="shared" si="55"/>
        <v>6.4221561382956358E-2</v>
      </c>
      <c r="AP21" s="4">
        <f t="shared" si="55"/>
        <v>6.8907512540926974E-2</v>
      </c>
      <c r="AQ21" s="4">
        <f t="shared" si="55"/>
        <v>0.12516896458502297</v>
      </c>
      <c r="AR21" s="5">
        <f t="shared" si="21"/>
        <v>0.11716160938410029</v>
      </c>
      <c r="AS21" s="4">
        <f t="shared" ref="AS21:BA21" si="56">AS8/$AR8</f>
        <v>3.9245326899037761E-3</v>
      </c>
      <c r="AT21" s="4">
        <f t="shared" si="56"/>
        <v>0.11886973458530771</v>
      </c>
      <c r="AU21" s="4">
        <f t="shared" si="56"/>
        <v>4.1251199162766358E-2</v>
      </c>
      <c r="AV21" s="4">
        <f t="shared" si="56"/>
        <v>9.5177185383296031E-2</v>
      </c>
      <c r="AW21" s="4">
        <f t="shared" si="56"/>
        <v>0.1714003314049827</v>
      </c>
      <c r="AX21" s="4">
        <f t="shared" si="56"/>
        <v>0.11247419983139045</v>
      </c>
      <c r="AY21" s="4">
        <f t="shared" si="56"/>
        <v>9.1107299630803218E-2</v>
      </c>
      <c r="AZ21" s="4">
        <f t="shared" si="56"/>
        <v>0.10453792261402947</v>
      </c>
      <c r="BA21" s="4">
        <f t="shared" si="56"/>
        <v>0.26128666531003808</v>
      </c>
      <c r="BB21" s="5">
        <f t="shared" si="23"/>
        <v>0.40785005602803787</v>
      </c>
      <c r="BC21" s="4">
        <f t="shared" ref="BC21:BK21" si="57">BC8/$BB8</f>
        <v>4.7525595844537603E-2</v>
      </c>
      <c r="BD21" s="4">
        <f t="shared" si="57"/>
        <v>8.852070215289029E-2</v>
      </c>
      <c r="BE21" s="4">
        <f t="shared" si="57"/>
        <v>6.2716082374359057E-3</v>
      </c>
      <c r="BF21" s="4">
        <f t="shared" si="57"/>
        <v>0.13088537404172165</v>
      </c>
      <c r="BG21" s="4">
        <f t="shared" si="57"/>
        <v>0.10401182502964608</v>
      </c>
      <c r="BH21" s="4">
        <f t="shared" si="57"/>
        <v>0.14687755749670134</v>
      </c>
      <c r="BI21" s="4">
        <f t="shared" si="57"/>
        <v>0.14935780735890969</v>
      </c>
      <c r="BJ21" s="4">
        <f t="shared" si="57"/>
        <v>0.27977552486095569</v>
      </c>
      <c r="BK21" s="4">
        <f t="shared" si="57"/>
        <v>4.672389891937935E-2</v>
      </c>
      <c r="BL21" s="5">
        <f t="shared" si="25"/>
        <v>0.15680357489535188</v>
      </c>
      <c r="BM21" s="4">
        <f t="shared" ref="BM21:BT21" si="58">BM8/$BL8</f>
        <v>3.7490768495590597E-2</v>
      </c>
      <c r="BN21" s="4">
        <f t="shared" si="58"/>
        <v>0.11347148008167167</v>
      </c>
      <c r="BO21" s="4">
        <f t="shared" si="58"/>
        <v>3.284243451062166E-2</v>
      </c>
      <c r="BP21" s="4">
        <f t="shared" si="58"/>
        <v>0.22125200920978322</v>
      </c>
      <c r="BQ21" s="4">
        <f t="shared" si="58"/>
        <v>4.5766540683782962E-2</v>
      </c>
      <c r="BR21" s="4">
        <f t="shared" si="58"/>
        <v>0.16851296754854686</v>
      </c>
      <c r="BS21" s="4">
        <f t="shared" si="58"/>
        <v>4.0814110082974933E-2</v>
      </c>
      <c r="BT21" s="4">
        <f t="shared" si="58"/>
        <v>0.33991485294756507</v>
      </c>
      <c r="BU21" s="5">
        <f t="shared" si="27"/>
        <v>4.0578604442052704E-2</v>
      </c>
      <c r="BV21" s="4">
        <f t="shared" ref="BV21:BZ21" si="59">BV8/$BU8</f>
        <v>1.6786973308712439E-4</v>
      </c>
      <c r="BW21" s="4">
        <f t="shared" si="59"/>
        <v>5.036091992613732E-3</v>
      </c>
      <c r="BX21" s="4">
        <f t="shared" si="59"/>
        <v>1.0072183985227463E-3</v>
      </c>
      <c r="BY21" s="4">
        <f t="shared" si="59"/>
        <v>0.77287225113312075</v>
      </c>
      <c r="BZ21" s="4">
        <f t="shared" si="59"/>
        <v>0.22091656874265569</v>
      </c>
      <c r="CA21" s="5">
        <f t="shared" si="29"/>
        <v>0.9999931880805033</v>
      </c>
    </row>
    <row r="22" spans="1:79" s="4" customFormat="1" x14ac:dyDescent="0.2">
      <c r="A22" s="4" t="s">
        <v>165</v>
      </c>
      <c r="B22" s="5">
        <f t="shared" si="9"/>
        <v>4.9692036555896726E-2</v>
      </c>
      <c r="C22" s="4">
        <f t="shared" ref="C22:L22" si="60">C9/$B9</f>
        <v>9.5063985374771488E-3</v>
      </c>
      <c r="D22" s="4">
        <f t="shared" si="60"/>
        <v>5.8866544789762339E-2</v>
      </c>
      <c r="E22" s="4">
        <f t="shared" si="60"/>
        <v>8.762949421084705E-2</v>
      </c>
      <c r="F22" s="4">
        <f t="shared" si="60"/>
        <v>0.11419865935405241</v>
      </c>
      <c r="G22" s="4">
        <f t="shared" si="60"/>
        <v>0.10524070688604509</v>
      </c>
      <c r="H22" s="4">
        <f t="shared" si="60"/>
        <v>0.17288238878732481</v>
      </c>
      <c r="I22" s="4">
        <f t="shared" si="60"/>
        <v>2.9920780012187689E-2</v>
      </c>
      <c r="J22" s="4">
        <f t="shared" si="60"/>
        <v>0.13187081048141377</v>
      </c>
      <c r="K22" s="4">
        <f t="shared" si="60"/>
        <v>7.4344911639244365E-2</v>
      </c>
      <c r="L22" s="4">
        <f t="shared" si="60"/>
        <v>0.2154174283973187</v>
      </c>
      <c r="M22" s="5">
        <f t="shared" si="11"/>
        <v>1.0444109328536734E-2</v>
      </c>
      <c r="N22" s="4">
        <f t="shared" ref="N22:O22" si="61">N9/$M9</f>
        <v>0.79559292548564797</v>
      </c>
      <c r="O22" s="4">
        <f t="shared" si="61"/>
        <v>0.20411713540156567</v>
      </c>
      <c r="P22" s="5">
        <f t="shared" si="13"/>
        <v>1.2860577650998989E-2</v>
      </c>
      <c r="Q22" s="4">
        <f t="shared" ref="Q22:Y22" si="62">Q9/$P9</f>
        <v>4.7092064987049682E-4</v>
      </c>
      <c r="R22" s="4">
        <f t="shared" si="62"/>
        <v>2.4016953143395338E-2</v>
      </c>
      <c r="S22" s="4">
        <f t="shared" si="62"/>
        <v>3.1551683541323289E-2</v>
      </c>
      <c r="T22" s="4">
        <f t="shared" si="62"/>
        <v>0.24746880150694608</v>
      </c>
      <c r="U22" s="4">
        <f t="shared" si="62"/>
        <v>6.61643513068048E-2</v>
      </c>
      <c r="V22" s="4">
        <f t="shared" si="62"/>
        <v>2.7077937367553567E-2</v>
      </c>
      <c r="W22" s="4">
        <f t="shared" si="62"/>
        <v>0.10030609842241582</v>
      </c>
      <c r="X22" s="4">
        <f t="shared" si="62"/>
        <v>0.335530963032729</v>
      </c>
      <c r="Y22" s="4">
        <f t="shared" si="62"/>
        <v>0.16764775135389687</v>
      </c>
      <c r="Z22" s="5">
        <f t="shared" si="15"/>
        <v>0.10462883894450602</v>
      </c>
      <c r="AA22" s="4">
        <f t="shared" ref="AA22:AC22" si="63">AA9/$Z9</f>
        <v>5.788376939106275E-3</v>
      </c>
      <c r="AB22" s="4">
        <f t="shared" si="63"/>
        <v>0.98529752257467007</v>
      </c>
      <c r="AC22" s="4">
        <f t="shared" si="63"/>
        <v>8.9719842556147261E-3</v>
      </c>
      <c r="AD22" s="5">
        <f t="shared" si="17"/>
        <v>2.516397463616708E-3</v>
      </c>
      <c r="AE22" s="4">
        <f t="shared" ref="AE22:AG22" si="64">AE9/$AD9</f>
        <v>0.10830324909747292</v>
      </c>
      <c r="AF22" s="4">
        <f t="shared" si="64"/>
        <v>0.81829121540312877</v>
      </c>
      <c r="AG22" s="4">
        <f t="shared" si="64"/>
        <v>7.3405535499398308E-2</v>
      </c>
      <c r="AH22" s="5">
        <f t="shared" si="19"/>
        <v>0.11210535559633472</v>
      </c>
      <c r="AI22" s="4">
        <f t="shared" ref="AI22:AQ22" si="65">AI9/$AH9</f>
        <v>8.2412684692471844E-2</v>
      </c>
      <c r="AJ22" s="4">
        <f t="shared" si="65"/>
        <v>3.4737041138813103E-2</v>
      </c>
      <c r="AK22" s="4">
        <f t="shared" si="65"/>
        <v>3.1117473866184058E-2</v>
      </c>
      <c r="AL22" s="4">
        <f t="shared" si="65"/>
        <v>0.3989627508711272</v>
      </c>
      <c r="AM22" s="4">
        <f t="shared" si="65"/>
        <v>0.10429215850463251</v>
      </c>
      <c r="AN22" s="4">
        <f t="shared" si="65"/>
        <v>8.8841468355798064E-2</v>
      </c>
      <c r="AO22" s="4">
        <f t="shared" si="65"/>
        <v>7.2310310364387786E-2</v>
      </c>
      <c r="AP22" s="4">
        <f t="shared" si="65"/>
        <v>6.6124631965641126E-2</v>
      </c>
      <c r="AQ22" s="4">
        <f t="shared" si="65"/>
        <v>0.12128251532913752</v>
      </c>
      <c r="AR22" s="5">
        <f t="shared" si="21"/>
        <v>0.11197211674146211</v>
      </c>
      <c r="AS22" s="4">
        <f t="shared" ref="AS22:BA22" si="66">AS9/$AR9</f>
        <v>4.7056278227005973E-3</v>
      </c>
      <c r="AT22" s="4">
        <f t="shared" si="66"/>
        <v>0.11761365172945344</v>
      </c>
      <c r="AU22" s="4">
        <f t="shared" si="66"/>
        <v>4.5379560267193121E-2</v>
      </c>
      <c r="AV22" s="4">
        <f t="shared" si="66"/>
        <v>8.7000027043838066E-2</v>
      </c>
      <c r="AW22" s="4">
        <f t="shared" si="66"/>
        <v>0.12688968818454716</v>
      </c>
      <c r="AX22" s="4">
        <f t="shared" si="66"/>
        <v>0.1157746707412716</v>
      </c>
      <c r="AY22" s="4">
        <f t="shared" si="66"/>
        <v>0.10952754414906564</v>
      </c>
      <c r="AZ22" s="4">
        <f t="shared" si="66"/>
        <v>0.10968980717743462</v>
      </c>
      <c r="BA22" s="4">
        <f t="shared" si="66"/>
        <v>0.28339237904643427</v>
      </c>
      <c r="BB22" s="5">
        <f t="shared" si="23"/>
        <v>0.4100274350914806</v>
      </c>
      <c r="BC22" s="4">
        <f t="shared" ref="BC22:BK22" si="67">BC9/$BB9</f>
        <v>3.9525866843912703E-2</v>
      </c>
      <c r="BD22" s="4">
        <f t="shared" si="67"/>
        <v>9.5794099183929698E-2</v>
      </c>
      <c r="BE22" s="4">
        <f t="shared" si="67"/>
        <v>7.1710793545290055E-3</v>
      </c>
      <c r="BF22" s="4">
        <f t="shared" si="67"/>
        <v>0.12506923673424172</v>
      </c>
      <c r="BG22" s="4">
        <f t="shared" si="67"/>
        <v>9.7514862818950554E-2</v>
      </c>
      <c r="BH22" s="4">
        <f t="shared" si="67"/>
        <v>0.13058601971862191</v>
      </c>
      <c r="BI22" s="4">
        <f t="shared" si="67"/>
        <v>0.14514973597725342</v>
      </c>
      <c r="BJ22" s="4">
        <f t="shared" si="67"/>
        <v>0.31665004985044864</v>
      </c>
      <c r="BK22" s="4">
        <f t="shared" si="67"/>
        <v>4.2531664266459879E-2</v>
      </c>
      <c r="BL22" s="5">
        <f t="shared" si="25"/>
        <v>0.15180447803678604</v>
      </c>
      <c r="BM22" s="4">
        <f t="shared" ref="BM22:BT22" si="68">BM9/$BL9</f>
        <v>3.9057668907462449E-2</v>
      </c>
      <c r="BN22" s="4">
        <f t="shared" si="68"/>
        <v>0.11264487043944864</v>
      </c>
      <c r="BO22" s="4">
        <f t="shared" si="68"/>
        <v>3.2554706668528458E-2</v>
      </c>
      <c r="BP22" s="4">
        <f t="shared" si="68"/>
        <v>0.21910594243083123</v>
      </c>
      <c r="BQ22" s="4">
        <f t="shared" si="68"/>
        <v>4.8093993736410608E-2</v>
      </c>
      <c r="BR22" s="4">
        <f t="shared" si="68"/>
        <v>0.16307274939658095</v>
      </c>
      <c r="BS22" s="4">
        <f t="shared" si="68"/>
        <v>4.1231972232750193E-2</v>
      </c>
      <c r="BT22" s="4">
        <f t="shared" si="68"/>
        <v>0.34429793939877523</v>
      </c>
      <c r="BU22" s="5">
        <f t="shared" si="27"/>
        <v>3.3948654590381364E-2</v>
      </c>
      <c r="BV22" s="4">
        <f t="shared" ref="BV22:BZ22" si="69">BV9/$BU9</f>
        <v>3.5679243600035679E-4</v>
      </c>
      <c r="BW22" s="4">
        <f t="shared" si="69"/>
        <v>4.995094104004995E-3</v>
      </c>
      <c r="BX22" s="4">
        <f t="shared" si="69"/>
        <v>9.8117919900098127E-4</v>
      </c>
      <c r="BY22" s="4">
        <f t="shared" si="69"/>
        <v>0.58201766122558207</v>
      </c>
      <c r="BZ22" s="4">
        <f t="shared" si="69"/>
        <v>0.41164927303541166</v>
      </c>
      <c r="CA22" s="5">
        <f t="shared" si="29"/>
        <v>1</v>
      </c>
    </row>
    <row r="23" spans="1:79" s="4" customFormat="1" x14ac:dyDescent="0.2">
      <c r="A23" s="4" t="s">
        <v>166</v>
      </c>
      <c r="B23" s="5">
        <f t="shared" si="9"/>
        <v>4.6805530908724656E-2</v>
      </c>
      <c r="C23" s="4">
        <f t="shared" ref="C23:L23" si="70">C10/$B10</f>
        <v>8.5562045291525772E-3</v>
      </c>
      <c r="D23" s="4">
        <f t="shared" si="70"/>
        <v>5.4821190695768011E-2</v>
      </c>
      <c r="E23" s="4">
        <f t="shared" si="70"/>
        <v>9.2683676606209658E-2</v>
      </c>
      <c r="F23" s="4">
        <f t="shared" si="70"/>
        <v>0.12547392150835127</v>
      </c>
      <c r="G23" s="4">
        <f t="shared" si="70"/>
        <v>0.10303309765344811</v>
      </c>
      <c r="H23" s="4">
        <f t="shared" si="70"/>
        <v>0.162055538477303</v>
      </c>
      <c r="I23" s="4">
        <f t="shared" si="70"/>
        <v>2.8947638077671891E-2</v>
      </c>
      <c r="J23" s="4">
        <f t="shared" si="70"/>
        <v>0.13146838815452402</v>
      </c>
      <c r="K23" s="4">
        <f t="shared" si="70"/>
        <v>8.5049697714929803E-2</v>
      </c>
      <c r="L23" s="4">
        <f t="shared" si="70"/>
        <v>0.20816682037093964</v>
      </c>
      <c r="M23" s="5">
        <f t="shared" si="11"/>
        <v>9.2325696279634151E-3</v>
      </c>
      <c r="N23" s="4">
        <f t="shared" ref="N23:O23" si="71">N10/$M10</f>
        <v>0.82337662337662343</v>
      </c>
      <c r="O23" s="4">
        <f t="shared" si="71"/>
        <v>0.17714285714285713</v>
      </c>
      <c r="P23" s="5">
        <f t="shared" si="13"/>
        <v>1.1158219864652928E-2</v>
      </c>
      <c r="Q23" s="4">
        <f t="shared" ref="Q23:Y23" si="72">Q10/$P10</f>
        <v>8.596604341285192E-4</v>
      </c>
      <c r="R23" s="4">
        <f t="shared" si="72"/>
        <v>2.9013539651837523E-2</v>
      </c>
      <c r="S23" s="4">
        <f t="shared" si="72"/>
        <v>3.1807436062755212E-2</v>
      </c>
      <c r="T23" s="4">
        <f t="shared" si="72"/>
        <v>0.31033741672039544</v>
      </c>
      <c r="U23" s="4">
        <f t="shared" si="72"/>
        <v>7.8444014614227384E-2</v>
      </c>
      <c r="V23" s="4">
        <f t="shared" si="72"/>
        <v>2.6864388566516226E-2</v>
      </c>
      <c r="W23" s="4">
        <f t="shared" si="72"/>
        <v>0.12980872555340642</v>
      </c>
      <c r="X23" s="4">
        <f t="shared" si="72"/>
        <v>0.20309477756286268</v>
      </c>
      <c r="Y23" s="4">
        <f t="shared" si="72"/>
        <v>0.18934021061680636</v>
      </c>
      <c r="Z23" s="5">
        <f t="shared" si="15"/>
        <v>0.15780739660721052</v>
      </c>
      <c r="AA23" s="4">
        <f t="shared" ref="AA23:AC23" si="73">AA10/$Z10</f>
        <v>5.6985685195878799E-3</v>
      </c>
      <c r="AB23" s="4">
        <f t="shared" si="73"/>
        <v>0.98899796371151572</v>
      </c>
      <c r="AC23" s="4">
        <f t="shared" si="73"/>
        <v>5.3490563170531559E-3</v>
      </c>
      <c r="AD23" s="5">
        <f t="shared" si="17"/>
        <v>2.6234886163615523E-3</v>
      </c>
      <c r="AE23" s="4">
        <f t="shared" ref="AE23:AG23" si="74">AE10/$AD10</f>
        <v>0.1170018281535649</v>
      </c>
      <c r="AF23" s="4">
        <f t="shared" si="74"/>
        <v>0.8117001828153565</v>
      </c>
      <c r="AG23" s="4">
        <f t="shared" si="74"/>
        <v>6.9469835466179158E-2</v>
      </c>
      <c r="AH23" s="5">
        <f t="shared" si="19"/>
        <v>0.12324401321816203</v>
      </c>
      <c r="AI23" s="4">
        <f t="shared" ref="AI23:AQ23" si="75">AI10/$AH10</f>
        <v>7.3064425116260975E-2</v>
      </c>
      <c r="AJ23" s="4">
        <f t="shared" si="75"/>
        <v>6.6176327515420394E-2</v>
      </c>
      <c r="AK23" s="4">
        <f t="shared" si="75"/>
        <v>2.4653162882104566E-2</v>
      </c>
      <c r="AL23" s="4">
        <f t="shared" si="75"/>
        <v>0.37176269141711904</v>
      </c>
      <c r="AM23" s="4">
        <f t="shared" si="75"/>
        <v>9.0615453466425383E-2</v>
      </c>
      <c r="AN23" s="4">
        <f t="shared" si="75"/>
        <v>0.11102679353219309</v>
      </c>
      <c r="AO23" s="4">
        <f t="shared" si="75"/>
        <v>6.1253478100130369E-2</v>
      </c>
      <c r="AP23" s="4">
        <f t="shared" si="75"/>
        <v>5.576634950285058E-2</v>
      </c>
      <c r="AQ23" s="4">
        <f t="shared" si="75"/>
        <v>0.14562294475901388</v>
      </c>
      <c r="AR23" s="5">
        <f t="shared" si="21"/>
        <v>0.10556544093313701</v>
      </c>
      <c r="AS23" s="4">
        <f t="shared" ref="AS23:BA23" si="76">AS10/$AR10</f>
        <v>4.5887190204675042E-3</v>
      </c>
      <c r="AT23" s="4">
        <f t="shared" si="76"/>
        <v>0.11637627495967834</v>
      </c>
      <c r="AU23" s="4">
        <f t="shared" si="76"/>
        <v>4.6455100974534883E-2</v>
      </c>
      <c r="AV23" s="4">
        <f t="shared" si="76"/>
        <v>8.6367869880284415E-2</v>
      </c>
      <c r="AW23" s="4">
        <f t="shared" si="76"/>
        <v>0.12091956111855705</v>
      </c>
      <c r="AX23" s="4">
        <f t="shared" si="76"/>
        <v>0.10983394289089299</v>
      </c>
      <c r="AY23" s="4">
        <f t="shared" si="76"/>
        <v>0.11844347016196816</v>
      </c>
      <c r="AZ23" s="4">
        <f t="shared" si="76"/>
        <v>0.11410463188023898</v>
      </c>
      <c r="BA23" s="4">
        <f t="shared" si="76"/>
        <v>0.28281956339020015</v>
      </c>
      <c r="BB23" s="5">
        <f t="shared" si="23"/>
        <v>0.37625718821492465</v>
      </c>
      <c r="BC23" s="4">
        <f t="shared" ref="BC23:BK23" si="77">BC10/$BB10</f>
        <v>3.9834289356277884E-2</v>
      </c>
      <c r="BD23" s="4">
        <f t="shared" si="77"/>
        <v>0.10076481835564054</v>
      </c>
      <c r="BE23" s="4">
        <f t="shared" si="77"/>
        <v>6.978967495219885E-3</v>
      </c>
      <c r="BF23" s="4">
        <f t="shared" si="77"/>
        <v>0.12667304015296368</v>
      </c>
      <c r="BG23" s="4">
        <f t="shared" si="77"/>
        <v>9.3862332695984707E-2</v>
      </c>
      <c r="BH23" s="4">
        <f t="shared" si="77"/>
        <v>0.12964308476736774</v>
      </c>
      <c r="BI23" s="4">
        <f t="shared" si="77"/>
        <v>0.14849585723390696</v>
      </c>
      <c r="BJ23" s="4">
        <f t="shared" si="77"/>
        <v>0.31899298916507329</v>
      </c>
      <c r="BK23" s="4">
        <f t="shared" si="77"/>
        <v>3.4760994263862331E-2</v>
      </c>
      <c r="BL23" s="5">
        <f t="shared" si="25"/>
        <v>0.13783147323034423</v>
      </c>
      <c r="BM23" s="4">
        <f t="shared" ref="BM23:BT23" si="78">BM10/$BL10</f>
        <v>3.7163337740970144E-2</v>
      </c>
      <c r="BN23" s="4">
        <f t="shared" si="78"/>
        <v>0.10901941680005567</v>
      </c>
      <c r="BO23" s="4">
        <f t="shared" si="78"/>
        <v>3.8329041686964993E-2</v>
      </c>
      <c r="BP23" s="4">
        <f t="shared" si="78"/>
        <v>0.22320620780847658</v>
      </c>
      <c r="BQ23" s="4">
        <f t="shared" si="78"/>
        <v>5.4005149975642007E-2</v>
      </c>
      <c r="BR23" s="4">
        <f t="shared" si="78"/>
        <v>0.15839654812443454</v>
      </c>
      <c r="BS23" s="4">
        <f t="shared" si="78"/>
        <v>4.3165843134525712E-2</v>
      </c>
      <c r="BT23" s="4">
        <f t="shared" si="78"/>
        <v>0.33669705616257223</v>
      </c>
      <c r="BU23" s="5">
        <f t="shared" si="27"/>
        <v>2.9477076848552285E-2</v>
      </c>
      <c r="BV23" s="4">
        <f t="shared" ref="BV23:BZ23" si="79">BV10/$BU10</f>
        <v>2.4406117800195249E-4</v>
      </c>
      <c r="BW23" s="4">
        <f t="shared" si="79"/>
        <v>6.5082980800520666E-3</v>
      </c>
      <c r="BX23" s="4">
        <f t="shared" si="79"/>
        <v>1.3830133420110642E-3</v>
      </c>
      <c r="BY23" s="4">
        <f t="shared" si="79"/>
        <v>0.56614057923852912</v>
      </c>
      <c r="BZ23" s="4">
        <f t="shared" si="79"/>
        <v>0.42539863325740318</v>
      </c>
      <c r="CA23" s="5">
        <f t="shared" si="29"/>
        <v>1.0000023980700334</v>
      </c>
    </row>
    <row r="24" spans="1:79" s="4" customFormat="1" x14ac:dyDescent="0.2">
      <c r="A24" s="4" t="s">
        <v>167</v>
      </c>
      <c r="B24" s="5">
        <f t="shared" si="9"/>
        <v>4.7560943197001951E-2</v>
      </c>
      <c r="C24" s="4">
        <f t="shared" ref="C24:L24" si="80">C11/$B11</f>
        <v>1.0770168664905507E-2</v>
      </c>
      <c r="D24" s="4">
        <f t="shared" si="80"/>
        <v>5.2580776264986792E-2</v>
      </c>
      <c r="E24" s="4">
        <f t="shared" si="80"/>
        <v>0.10333265596423491</v>
      </c>
      <c r="F24" s="4">
        <f t="shared" si="80"/>
        <v>0.11328998171103434</v>
      </c>
      <c r="G24" s="4">
        <f t="shared" si="80"/>
        <v>0.10851452956716115</v>
      </c>
      <c r="H24" s="4">
        <f t="shared" si="80"/>
        <v>0.17100182889656573</v>
      </c>
      <c r="I24" s="4">
        <f t="shared" si="80"/>
        <v>3.1040438935175777E-2</v>
      </c>
      <c r="J24" s="4">
        <f t="shared" si="80"/>
        <v>0.13117252590936801</v>
      </c>
      <c r="K24" s="4">
        <f t="shared" si="80"/>
        <v>7.3054257264783581E-2</v>
      </c>
      <c r="L24" s="4">
        <f t="shared" si="80"/>
        <v>0.20498882340987604</v>
      </c>
      <c r="M24" s="5">
        <f t="shared" si="11"/>
        <v>8.5002742413662295E-3</v>
      </c>
      <c r="N24" s="4">
        <f t="shared" ref="N24:O24" si="81">N11/$M11</f>
        <v>0.83229107447413297</v>
      </c>
      <c r="O24" s="4">
        <f t="shared" si="81"/>
        <v>0.1671404206935759</v>
      </c>
      <c r="P24" s="5">
        <f t="shared" si="13"/>
        <v>9.4981745431525436E-3</v>
      </c>
      <c r="Q24" s="4">
        <f t="shared" ref="Q24:Y24" si="82">Q11/$P11</f>
        <v>5.0877639277537522E-4</v>
      </c>
      <c r="R24" s="4">
        <f t="shared" si="82"/>
        <v>3.0526583566522512E-2</v>
      </c>
      <c r="S24" s="4">
        <f t="shared" si="82"/>
        <v>3.3070465530399391E-2</v>
      </c>
      <c r="T24" s="4">
        <f t="shared" si="82"/>
        <v>0.21394047316204529</v>
      </c>
      <c r="U24" s="4">
        <f t="shared" si="82"/>
        <v>7.1228694988552527E-2</v>
      </c>
      <c r="V24" s="4">
        <f t="shared" si="82"/>
        <v>3.0272195370134827E-2</v>
      </c>
      <c r="W24" s="4">
        <f t="shared" si="82"/>
        <v>0.12159755787331468</v>
      </c>
      <c r="X24" s="4">
        <f t="shared" si="82"/>
        <v>0.25922157211905367</v>
      </c>
      <c r="Y24" s="4">
        <f t="shared" si="82"/>
        <v>0.23963368099720173</v>
      </c>
      <c r="Z24" s="5">
        <f t="shared" si="15"/>
        <v>0.14654637095312767</v>
      </c>
      <c r="AA24" s="4">
        <f t="shared" ref="AA24:AC24" si="83">AA11/$Z11</f>
        <v>5.0452589404956227E-3</v>
      </c>
      <c r="AB24" s="4">
        <f t="shared" si="83"/>
        <v>0.99020626205668494</v>
      </c>
      <c r="AC24" s="4">
        <f t="shared" si="83"/>
        <v>4.830917874396135E-3</v>
      </c>
      <c r="AD24" s="5">
        <f t="shared" si="17"/>
        <v>2.3872288091159278E-3</v>
      </c>
      <c r="AE24" s="4">
        <f t="shared" ref="AE24:AG24" si="84">AE11/$AD11</f>
        <v>0.16295546558704455</v>
      </c>
      <c r="AF24" s="4">
        <f t="shared" si="84"/>
        <v>0.75910931174089069</v>
      </c>
      <c r="AG24" s="4">
        <f t="shared" si="84"/>
        <v>7.8947368421052627E-2</v>
      </c>
      <c r="AH24" s="5">
        <f t="shared" si="19"/>
        <v>0.10348926834336469</v>
      </c>
      <c r="AI24" s="4">
        <f t="shared" ref="AI24:AQ24" si="85">AI11/$AH11</f>
        <v>6.3505404963694514E-2</v>
      </c>
      <c r="AJ24" s="4">
        <f t="shared" si="85"/>
        <v>6.607363825266746E-2</v>
      </c>
      <c r="AK24" s="4">
        <f t="shared" si="85"/>
        <v>2.6803016506735774E-2</v>
      </c>
      <c r="AL24" s="4">
        <f t="shared" si="85"/>
        <v>0.39690878102309074</v>
      </c>
      <c r="AM24" s="4">
        <f t="shared" si="85"/>
        <v>0.12066026943101958</v>
      </c>
      <c r="AN24" s="4">
        <f t="shared" si="85"/>
        <v>8.3140715836660356E-2</v>
      </c>
      <c r="AO24" s="4">
        <f t="shared" si="85"/>
        <v>6.3692185566528919E-2</v>
      </c>
      <c r="AP24" s="4">
        <f t="shared" si="85"/>
        <v>6.3108496182671434E-2</v>
      </c>
      <c r="AQ24" s="4">
        <f t="shared" si="85"/>
        <v>0.11610749223693119</v>
      </c>
      <c r="AR24" s="5">
        <f t="shared" si="21"/>
        <v>9.8195322674566113E-2</v>
      </c>
      <c r="AS24" s="4">
        <f t="shared" ref="AS24:BA24" si="86">AS11/$AR11</f>
        <v>4.3307086614173228E-3</v>
      </c>
      <c r="AT24" s="4">
        <f t="shared" si="86"/>
        <v>0.12768208661417324</v>
      </c>
      <c r="AU24" s="4">
        <f t="shared" si="86"/>
        <v>4.264271653543307E-2</v>
      </c>
      <c r="AV24" s="4">
        <f t="shared" si="86"/>
        <v>9.4168307086614167E-2</v>
      </c>
      <c r="AW24" s="4">
        <f t="shared" si="86"/>
        <v>0.10524114173228347</v>
      </c>
      <c r="AX24" s="4">
        <f t="shared" si="86"/>
        <v>0.11331200787401575</v>
      </c>
      <c r="AY24" s="4">
        <f t="shared" si="86"/>
        <v>0.11678149606299212</v>
      </c>
      <c r="AZ24" s="4">
        <f t="shared" si="86"/>
        <v>0.10270669291338583</v>
      </c>
      <c r="BA24" s="4">
        <f t="shared" si="86"/>
        <v>0.29323326771653541</v>
      </c>
      <c r="BB24" s="5">
        <f t="shared" si="23"/>
        <v>0.41886442328369605</v>
      </c>
      <c r="BC24" s="4">
        <f t="shared" ref="BC24:BK24" si="87">BC11/$BB11</f>
        <v>4.2502379510253527E-2</v>
      </c>
      <c r="BD24" s="4">
        <f t="shared" si="87"/>
        <v>0.10568486631478757</v>
      </c>
      <c r="BE24" s="4">
        <f t="shared" si="87"/>
        <v>6.7549248651610858E-3</v>
      </c>
      <c r="BF24" s="4">
        <f t="shared" si="87"/>
        <v>0.12028496437945257</v>
      </c>
      <c r="BG24" s="4">
        <f t="shared" si="87"/>
        <v>7.2285195119840787E-2</v>
      </c>
      <c r="BH24" s="4">
        <f t="shared" si="87"/>
        <v>0.11654697009027717</v>
      </c>
      <c r="BI24" s="4">
        <f t="shared" si="87"/>
        <v>0.1383807793256612</v>
      </c>
      <c r="BJ24" s="4">
        <f t="shared" si="87"/>
        <v>0.36296616769057716</v>
      </c>
      <c r="BK24" s="4">
        <f t="shared" si="87"/>
        <v>3.4582215684577887E-2</v>
      </c>
      <c r="BL24" s="5">
        <f t="shared" si="25"/>
        <v>0.13457881600216492</v>
      </c>
      <c r="BM24" s="4">
        <f t="shared" ref="BM24:BT24" si="88">BM11/$BL11</f>
        <v>3.5189773420948686E-2</v>
      </c>
      <c r="BN24" s="4">
        <f t="shared" si="88"/>
        <v>9.5802362741929686E-2</v>
      </c>
      <c r="BO24" s="4">
        <f t="shared" si="88"/>
        <v>4.0378469603935506E-2</v>
      </c>
      <c r="BP24" s="4">
        <f t="shared" si="88"/>
        <v>0.21840999676828612</v>
      </c>
      <c r="BQ24" s="4">
        <f t="shared" si="88"/>
        <v>5.1815145965743832E-2</v>
      </c>
      <c r="BR24" s="4">
        <f t="shared" si="88"/>
        <v>0.17971919997127364</v>
      </c>
      <c r="BS24" s="4">
        <f t="shared" si="88"/>
        <v>4.6698265646881398E-2</v>
      </c>
      <c r="BT24" s="4">
        <f t="shared" si="88"/>
        <v>0.33204064777909442</v>
      </c>
      <c r="BU24" s="5">
        <f t="shared" si="27"/>
        <v>3.0384010399425905E-2</v>
      </c>
      <c r="BV24" s="4">
        <f t="shared" ref="BV24:BZ24" si="89">BV11/$BU11</f>
        <v>4.7713717693836981E-4</v>
      </c>
      <c r="BW24" s="4">
        <f t="shared" si="89"/>
        <v>5.2485089463220674E-3</v>
      </c>
      <c r="BX24" s="4">
        <f t="shared" si="89"/>
        <v>1.5109343936381709E-3</v>
      </c>
      <c r="BY24" s="4">
        <f t="shared" si="89"/>
        <v>0.68111332007952285</v>
      </c>
      <c r="BZ24" s="4">
        <f t="shared" si="89"/>
        <v>0.31149105367793239</v>
      </c>
      <c r="CA24" s="5">
        <f t="shared" si="29"/>
        <v>1.0000048324469819</v>
      </c>
    </row>
    <row r="25" spans="1:79" s="4" customFormat="1" x14ac:dyDescent="0.2">
      <c r="A25" s="4" t="s">
        <v>247</v>
      </c>
      <c r="B25" s="5">
        <f t="shared" si="9"/>
        <v>5.1859502690329469E-2</v>
      </c>
      <c r="C25" s="4">
        <f t="shared" ref="C25:L25" si="90">C12/$B12</f>
        <v>9.0162831382048173E-3</v>
      </c>
      <c r="D25" s="4">
        <f t="shared" si="90"/>
        <v>5.6116269681065804E-2</v>
      </c>
      <c r="E25" s="4">
        <f t="shared" si="90"/>
        <v>8.6798546628986673E-2</v>
      </c>
      <c r="F25" s="4">
        <f t="shared" si="90"/>
        <v>0.10788139774817207</v>
      </c>
      <c r="G25" s="4">
        <f t="shared" si="90"/>
        <v>0.11330911048311129</v>
      </c>
      <c r="H25" s="4">
        <f t="shared" si="90"/>
        <v>0.17552594984972861</v>
      </c>
      <c r="I25" s="4">
        <f t="shared" si="90"/>
        <v>3.0861705468084151E-2</v>
      </c>
      <c r="J25" s="4">
        <f t="shared" si="90"/>
        <v>0.14578567263266495</v>
      </c>
      <c r="K25" s="4">
        <f t="shared" si="90"/>
        <v>7.3879693177230518E-2</v>
      </c>
      <c r="L25" s="4">
        <f t="shared" si="90"/>
        <v>0.2008253711927511</v>
      </c>
      <c r="M25" s="5">
        <f t="shared" si="11"/>
        <v>7.7906730592523839E-3</v>
      </c>
      <c r="N25" s="4">
        <f t="shared" ref="N25:O25" si="91">N12/$M12</f>
        <v>0.86772170797252912</v>
      </c>
      <c r="O25" s="4">
        <f t="shared" si="91"/>
        <v>0.13168109883547327</v>
      </c>
      <c r="P25" s="5">
        <f t="shared" si="13"/>
        <v>9.5818997703973029E-3</v>
      </c>
      <c r="Q25" s="4">
        <f t="shared" ref="Q25:Y25" si="92">Q12/$P12</f>
        <v>1.4566642388929353E-3</v>
      </c>
      <c r="R25" s="4">
        <f t="shared" si="92"/>
        <v>3.6659383345472203E-2</v>
      </c>
      <c r="S25" s="4">
        <f t="shared" si="92"/>
        <v>3.4231609613983978E-2</v>
      </c>
      <c r="T25" s="4">
        <f t="shared" si="92"/>
        <v>0.22262685117747025</v>
      </c>
      <c r="U25" s="4">
        <f t="shared" si="92"/>
        <v>6.7006554989075012E-2</v>
      </c>
      <c r="V25" s="4">
        <f t="shared" si="92"/>
        <v>2.9376062151007527E-2</v>
      </c>
      <c r="W25" s="4">
        <f t="shared" si="92"/>
        <v>8.7885409079873758E-2</v>
      </c>
      <c r="X25" s="4">
        <f t="shared" si="92"/>
        <v>0.27749453750910413</v>
      </c>
      <c r="Y25" s="4">
        <f t="shared" si="92"/>
        <v>0.24423403738771546</v>
      </c>
      <c r="Z25" s="5">
        <f t="shared" si="15"/>
        <v>0.13201340861138058</v>
      </c>
      <c r="AA25" s="4">
        <f t="shared" ref="AA25:AC25" si="93">AA12/$Z12</f>
        <v>4.5815785300181502E-3</v>
      </c>
      <c r="AB25" s="4">
        <f t="shared" si="93"/>
        <v>0.99002625596926819</v>
      </c>
      <c r="AC25" s="4">
        <f t="shared" si="93"/>
        <v>5.3921655007136693E-3</v>
      </c>
      <c r="AD25" s="5">
        <f t="shared" si="17"/>
        <v>2.9241194492326803E-3</v>
      </c>
      <c r="AE25" s="4">
        <f t="shared" ref="AE25:AG25" si="94">AE12/$AD12</f>
        <v>0.162291169451074</v>
      </c>
      <c r="AF25" s="4">
        <f t="shared" si="94"/>
        <v>0.77406523468575972</v>
      </c>
      <c r="AG25" s="4">
        <f t="shared" si="94"/>
        <v>6.205250596658711E-2</v>
      </c>
      <c r="AH25" s="5">
        <f t="shared" si="19"/>
        <v>0.10475652111204937</v>
      </c>
      <c r="AI25" s="4">
        <f t="shared" ref="AI25:AQ25" si="95">AI12/$AH12</f>
        <v>6.0468111565109256E-2</v>
      </c>
      <c r="AJ25" s="4">
        <f t="shared" si="95"/>
        <v>5.9579854325812753E-2</v>
      </c>
      <c r="AK25" s="4">
        <f t="shared" si="95"/>
        <v>2.8091135192751821E-2</v>
      </c>
      <c r="AL25" s="4">
        <f t="shared" si="95"/>
        <v>0.37777580387280157</v>
      </c>
      <c r="AM25" s="4">
        <f t="shared" si="95"/>
        <v>0.12364540771007283</v>
      </c>
      <c r="AN25" s="4">
        <f t="shared" si="95"/>
        <v>0.10330431693018298</v>
      </c>
      <c r="AO25" s="4">
        <f t="shared" si="95"/>
        <v>6.5664416414993779E-2</v>
      </c>
      <c r="AP25" s="4">
        <f t="shared" si="95"/>
        <v>6.3066263990051524E-2</v>
      </c>
      <c r="AQ25" s="4">
        <f t="shared" si="95"/>
        <v>0.11851572215313555</v>
      </c>
      <c r="AR25" s="5">
        <f t="shared" si="21"/>
        <v>0.10145089363602738</v>
      </c>
      <c r="AS25" s="4">
        <f t="shared" ref="AS25:BA25" si="96">AS12/$AR12</f>
        <v>3.462429203641283E-3</v>
      </c>
      <c r="AT25" s="4">
        <f t="shared" si="96"/>
        <v>0.12733026071404002</v>
      </c>
      <c r="AU25" s="4">
        <f t="shared" si="96"/>
        <v>4.0723670633555753E-2</v>
      </c>
      <c r="AV25" s="4">
        <f t="shared" si="96"/>
        <v>9.6535277796886101E-2</v>
      </c>
      <c r="AW25" s="4">
        <f t="shared" si="96"/>
        <v>0.10426268601958222</v>
      </c>
      <c r="AX25" s="4">
        <f t="shared" si="96"/>
        <v>0.10229070647313751</v>
      </c>
      <c r="AY25" s="4">
        <f t="shared" si="96"/>
        <v>0.13647932860975442</v>
      </c>
      <c r="AZ25" s="4">
        <f t="shared" si="96"/>
        <v>9.8255027401343703E-2</v>
      </c>
      <c r="BA25" s="4">
        <f t="shared" si="96"/>
        <v>0.29068354314278505</v>
      </c>
      <c r="BB25" s="5">
        <f t="shared" si="23"/>
        <v>0.42032414224666353</v>
      </c>
      <c r="BC25" s="4">
        <f t="shared" ref="BC25:BK25" si="97">BC12/$BB12</f>
        <v>4.3882757933652858E-2</v>
      </c>
      <c r="BD25" s="4">
        <f t="shared" si="97"/>
        <v>8.479350918167429E-2</v>
      </c>
      <c r="BE25" s="4">
        <f t="shared" si="97"/>
        <v>6.093443875009685E-3</v>
      </c>
      <c r="BF25" s="4">
        <f t="shared" si="97"/>
        <v>0.13137155064587183</v>
      </c>
      <c r="BG25" s="4">
        <f t="shared" si="97"/>
        <v>8.2474569142047524E-2</v>
      </c>
      <c r="BH25" s="4">
        <f t="shared" si="97"/>
        <v>0.11148622472133979</v>
      </c>
      <c r="BI25" s="4">
        <f t="shared" si="97"/>
        <v>0.15682454645074881</v>
      </c>
      <c r="BJ25" s="4">
        <f t="shared" si="97"/>
        <v>0.34327507388508238</v>
      </c>
      <c r="BK25" s="4">
        <f t="shared" si="97"/>
        <v>3.9820462016979731E-2</v>
      </c>
      <c r="BL25" s="5">
        <f t="shared" si="25"/>
        <v>0.13797098212727946</v>
      </c>
      <c r="BM25" s="4">
        <f t="shared" ref="BM25:BT25" si="98">BM12/$BL12</f>
        <v>3.3265891080762097E-2</v>
      </c>
      <c r="BN25" s="4">
        <f t="shared" si="98"/>
        <v>0.10106221547799696</v>
      </c>
      <c r="BO25" s="4">
        <f t="shared" si="98"/>
        <v>3.7363007924464675E-2</v>
      </c>
      <c r="BP25" s="4">
        <f t="shared" si="98"/>
        <v>0.21605125611195414</v>
      </c>
      <c r="BQ25" s="4">
        <f t="shared" si="98"/>
        <v>4.9704940145000841E-2</v>
      </c>
      <c r="BR25" s="4">
        <f t="shared" si="98"/>
        <v>0.17346147361321868</v>
      </c>
      <c r="BS25" s="4">
        <f t="shared" si="98"/>
        <v>4.5742707806440734E-2</v>
      </c>
      <c r="BT25" s="4">
        <f t="shared" si="98"/>
        <v>0.34331478671387622</v>
      </c>
      <c r="BU25" s="5">
        <f t="shared" si="27"/>
        <v>3.1334836102755934E-2</v>
      </c>
      <c r="BV25" s="4">
        <f t="shared" ref="BV25:BZ25" si="99">BV12/$BU12</f>
        <v>7.4239049740163328E-5</v>
      </c>
      <c r="BW25" s="4">
        <f t="shared" si="99"/>
        <v>4.2316258351893093E-3</v>
      </c>
      <c r="BX25" s="4">
        <f t="shared" si="99"/>
        <v>1.3363028953229399E-3</v>
      </c>
      <c r="BY25" s="4">
        <f t="shared" si="99"/>
        <v>0.73318485523385302</v>
      </c>
      <c r="BZ25" s="4">
        <f t="shared" si="99"/>
        <v>0.26080178173719376</v>
      </c>
      <c r="CA25" s="5">
        <f t="shared" si="29"/>
        <v>1.000006978805368</v>
      </c>
    </row>
    <row r="26" spans="1:79" s="4" customFormat="1" x14ac:dyDescent="0.2">
      <c r="A26" s="4" t="s">
        <v>248</v>
      </c>
      <c r="B26" s="5">
        <f t="shared" si="9"/>
        <v>5.3193336023920186E-2</v>
      </c>
      <c r="C26" s="4">
        <f t="shared" ref="C26:L26" si="100">C13/$B13</f>
        <v>7.7503569243320414E-3</v>
      </c>
      <c r="D26" s="4">
        <f t="shared" si="100"/>
        <v>5.1070772996124822E-2</v>
      </c>
      <c r="E26" s="4">
        <f t="shared" si="100"/>
        <v>9.3616153375484401E-2</v>
      </c>
      <c r="F26" s="4">
        <f t="shared" si="100"/>
        <v>0.10393636549051601</v>
      </c>
      <c r="G26" s="4">
        <f t="shared" si="100"/>
        <v>0.10679176014684887</v>
      </c>
      <c r="H26" s="4">
        <f t="shared" si="100"/>
        <v>0.16879461554150521</v>
      </c>
      <c r="I26" s="4">
        <f t="shared" si="100"/>
        <v>2.9165816846828473E-2</v>
      </c>
      <c r="J26" s="4">
        <f t="shared" si="100"/>
        <v>0.18396899857230267</v>
      </c>
      <c r="K26" s="4">
        <f t="shared" si="100"/>
        <v>6.1921272690189683E-2</v>
      </c>
      <c r="L26" s="4">
        <f t="shared" si="100"/>
        <v>0.19298388741586783</v>
      </c>
      <c r="M26" s="5">
        <f t="shared" si="11"/>
        <v>7.329679342802463E-3</v>
      </c>
      <c r="N26" s="4">
        <f t="shared" ref="N26:O26" si="101">N13/$M13</f>
        <v>0.86234458259325042</v>
      </c>
      <c r="O26" s="4">
        <f t="shared" si="101"/>
        <v>0.13706335109532267</v>
      </c>
      <c r="P26" s="5">
        <f t="shared" si="13"/>
        <v>1.1467541541359094E-2</v>
      </c>
      <c r="Q26" s="4">
        <f t="shared" ref="Q26:Y26" si="102">Q13/$P13</f>
        <v>1.3245033112582781E-3</v>
      </c>
      <c r="R26" s="4">
        <f t="shared" si="102"/>
        <v>2.7436140018921477E-2</v>
      </c>
      <c r="S26" s="4">
        <f t="shared" si="102"/>
        <v>2.686849574266793E-2</v>
      </c>
      <c r="T26" s="4">
        <f t="shared" si="102"/>
        <v>0.18032166508987701</v>
      </c>
      <c r="U26" s="4">
        <f t="shared" si="102"/>
        <v>5.1087984862819298E-2</v>
      </c>
      <c r="V26" s="4">
        <f t="shared" si="102"/>
        <v>2.4030274361400188E-2</v>
      </c>
      <c r="W26" s="4">
        <f t="shared" si="102"/>
        <v>9.1012298959318824E-2</v>
      </c>
      <c r="X26" s="4">
        <f t="shared" si="102"/>
        <v>0.40283822138126774</v>
      </c>
      <c r="Y26" s="4">
        <f t="shared" si="102"/>
        <v>0.19489120151371808</v>
      </c>
      <c r="Z26" s="5">
        <f t="shared" si="15"/>
        <v>0.11556070528092764</v>
      </c>
      <c r="AA26" s="4">
        <f t="shared" ref="AA26:AC26" si="103">AA13/$Z13</f>
        <v>3.6989748019076946E-3</v>
      </c>
      <c r="AB26" s="4">
        <f t="shared" si="103"/>
        <v>0.99031131473205902</v>
      </c>
      <c r="AC26" s="4">
        <f t="shared" si="103"/>
        <v>5.9521574223590822E-3</v>
      </c>
      <c r="AD26" s="5">
        <f t="shared" si="17"/>
        <v>2.7817196321707396E-3</v>
      </c>
      <c r="AE26" s="4">
        <f t="shared" ref="AE26:AG26" si="104">AE13/$AD13</f>
        <v>0.10530421216848673</v>
      </c>
      <c r="AF26" s="4">
        <f t="shared" si="104"/>
        <v>0.8205928237129485</v>
      </c>
      <c r="AG26" s="4">
        <f t="shared" si="104"/>
        <v>7.3322932917316688E-2</v>
      </c>
      <c r="AH26" s="5">
        <f t="shared" si="19"/>
        <v>0.10344655496391576</v>
      </c>
      <c r="AI26" s="4">
        <f t="shared" ref="AI26:AQ26" si="105">AI13/$AH13</f>
        <v>5.8877818563188251E-2</v>
      </c>
      <c r="AJ26" s="4">
        <f t="shared" si="105"/>
        <v>6.0576822233875199E-2</v>
      </c>
      <c r="AK26" s="4">
        <f t="shared" si="105"/>
        <v>2.5883586785527005E-2</v>
      </c>
      <c r="AL26" s="4">
        <f t="shared" si="105"/>
        <v>0.3878342947037231</v>
      </c>
      <c r="AM26" s="4">
        <f t="shared" si="105"/>
        <v>0.12253801782905087</v>
      </c>
      <c r="AN26" s="4">
        <f t="shared" si="105"/>
        <v>0.10716308337703198</v>
      </c>
      <c r="AO26" s="4">
        <f t="shared" si="105"/>
        <v>5.862611431567908E-2</v>
      </c>
      <c r="AP26" s="4">
        <f t="shared" si="105"/>
        <v>6.3009963293130578E-2</v>
      </c>
      <c r="AQ26" s="4">
        <f t="shared" si="105"/>
        <v>0.11544834819087572</v>
      </c>
      <c r="AR26" s="5">
        <f t="shared" si="21"/>
        <v>9.9534354888405743E-2</v>
      </c>
      <c r="AS26" s="4">
        <f t="shared" ref="AS26:BA26" si="106">AS13/$AR13</f>
        <v>3.2699686083013605E-3</v>
      </c>
      <c r="AT26" s="4">
        <f t="shared" si="106"/>
        <v>0.12526159748866411</v>
      </c>
      <c r="AU26" s="4">
        <f t="shared" si="106"/>
        <v>4.0961806766655041E-2</v>
      </c>
      <c r="AV26" s="4">
        <f t="shared" si="106"/>
        <v>8.9749738402511339E-2</v>
      </c>
      <c r="AW26" s="4">
        <f t="shared" si="106"/>
        <v>0.10309121032438089</v>
      </c>
      <c r="AX26" s="4">
        <f t="shared" si="106"/>
        <v>0.10182682246250437</v>
      </c>
      <c r="AY26" s="4">
        <f t="shared" si="106"/>
        <v>0.11693407743285665</v>
      </c>
      <c r="AZ26" s="4">
        <f t="shared" si="106"/>
        <v>0.12170823160097663</v>
      </c>
      <c r="BA26" s="4">
        <f t="shared" si="106"/>
        <v>0.29737094523892571</v>
      </c>
      <c r="BB26" s="5">
        <f t="shared" si="23"/>
        <v>0.41434169585085467</v>
      </c>
      <c r="BC26" s="4">
        <f t="shared" ref="BC26:BK26" si="107">BC13/$BB13</f>
        <v>4.6518569722868094E-2</v>
      </c>
      <c r="BD26" s="4">
        <f t="shared" si="107"/>
        <v>7.6682586564444169E-2</v>
      </c>
      <c r="BE26" s="4">
        <f t="shared" si="107"/>
        <v>5.540543371247827E-3</v>
      </c>
      <c r="BF26" s="4">
        <f t="shared" si="107"/>
        <v>0.12378244202853013</v>
      </c>
      <c r="BG26" s="4">
        <f t="shared" si="107"/>
        <v>0.10045769706110308</v>
      </c>
      <c r="BH26" s="4">
        <f t="shared" si="107"/>
        <v>0.11378013783279918</v>
      </c>
      <c r="BI26" s="4">
        <f t="shared" si="107"/>
        <v>0.17178302855107982</v>
      </c>
      <c r="BJ26" s="4">
        <f t="shared" si="107"/>
        <v>0.31144871069775237</v>
      </c>
      <c r="BK26" s="4">
        <f t="shared" si="107"/>
        <v>4.9990573744737005E-2</v>
      </c>
      <c r="BL26" s="5">
        <f t="shared" si="25"/>
        <v>0.13675992587867189</v>
      </c>
      <c r="BM26" s="4">
        <f t="shared" ref="BM26:BT26" si="108">BM13/$BL13</f>
        <v>3.1906454274290792E-2</v>
      </c>
      <c r="BN26" s="4">
        <f t="shared" si="108"/>
        <v>0.10068540965919909</v>
      </c>
      <c r="BO26" s="4">
        <f t="shared" si="108"/>
        <v>3.5301770641619601E-2</v>
      </c>
      <c r="BP26" s="4">
        <f t="shared" si="108"/>
        <v>0.20784413276638955</v>
      </c>
      <c r="BQ26" s="4">
        <f t="shared" si="108"/>
        <v>4.9501808719933996E-2</v>
      </c>
      <c r="BR26" s="4">
        <f t="shared" si="108"/>
        <v>0.17181252776543759</v>
      </c>
      <c r="BS26" s="4">
        <f t="shared" si="108"/>
        <v>4.4551627847940596E-2</v>
      </c>
      <c r="BT26" s="4">
        <f t="shared" si="108"/>
        <v>0.35841213428952212</v>
      </c>
      <c r="BU26" s="5">
        <f t="shared" si="27"/>
        <v>5.5595335737502874E-2</v>
      </c>
      <c r="BV26" s="4">
        <f t="shared" ref="BV26:BZ26" si="109">BV13/$BU13</f>
        <v>2.3417375692764031E-4</v>
      </c>
      <c r="BW26" s="4">
        <f t="shared" si="109"/>
        <v>2.7710561236437437E-3</v>
      </c>
      <c r="BX26" s="4">
        <f t="shared" si="109"/>
        <v>8.5863710873468118E-4</v>
      </c>
      <c r="BY26" s="4">
        <f t="shared" si="109"/>
        <v>0.80454297088439619</v>
      </c>
      <c r="BZ26" s="4">
        <f t="shared" si="109"/>
        <v>0.191398017328858</v>
      </c>
      <c r="CA26" s="5">
        <f t="shared" si="29"/>
        <v>1.0000108491405311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0FF4-1991-2143-8A00-7244E8F55199}">
  <dimension ref="A1:CA10"/>
  <sheetViews>
    <sheetView workbookViewId="0">
      <selection activeCell="L29" sqref="L29"/>
    </sheetView>
  </sheetViews>
  <sheetFormatPr baseColWidth="10" defaultRowHeight="15" x14ac:dyDescent="0.2"/>
  <sheetData>
    <row r="1" spans="1:79" x14ac:dyDescent="0.2">
      <c r="A1" s="6" t="s">
        <v>252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6" t="s">
        <v>12</v>
      </c>
      <c r="N1" s="7" t="s">
        <v>13</v>
      </c>
      <c r="O1" s="7" t="s">
        <v>14</v>
      </c>
      <c r="P1" s="6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6" t="s">
        <v>29</v>
      </c>
      <c r="AE1" s="7" t="s">
        <v>30</v>
      </c>
      <c r="AF1" s="7" t="s">
        <v>31</v>
      </c>
      <c r="AG1" s="7" t="s">
        <v>32</v>
      </c>
      <c r="AH1" s="6" t="s">
        <v>33</v>
      </c>
      <c r="AI1" s="7" t="s">
        <v>34</v>
      </c>
      <c r="AJ1" s="7" t="s">
        <v>35</v>
      </c>
      <c r="AK1" s="7" t="s">
        <v>36</v>
      </c>
      <c r="AL1" s="7" t="s">
        <v>37</v>
      </c>
      <c r="AM1" s="7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6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6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6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6" t="s">
        <v>72</v>
      </c>
      <c r="BV1" s="7" t="s">
        <v>73</v>
      </c>
      <c r="BW1" s="7" t="s">
        <v>74</v>
      </c>
      <c r="BX1" s="7" t="s">
        <v>75</v>
      </c>
      <c r="BY1" s="7" t="s">
        <v>76</v>
      </c>
      <c r="BZ1" s="7" t="s">
        <v>77</v>
      </c>
      <c r="CA1" s="6" t="s">
        <v>78</v>
      </c>
    </row>
    <row r="2" spans="1:79" x14ac:dyDescent="0.2">
      <c r="A2" s="4" t="s">
        <v>161</v>
      </c>
      <c r="B2" s="4">
        <f>'Export-dataset'!B5/'Export-dataset'!B4</f>
        <v>1.1218540204162963</v>
      </c>
      <c r="C2" s="4">
        <f>'Export-dataset'!C5/'Export-dataset'!C4</f>
        <v>0.86339381003201709</v>
      </c>
      <c r="D2" s="4">
        <f>'Export-dataset'!D5/'Export-dataset'!D4</f>
        <v>1.0672799422799424</v>
      </c>
      <c r="E2" s="4">
        <f>'Export-dataset'!E5/'Export-dataset'!E4</f>
        <v>1.0620471014492754</v>
      </c>
      <c r="F2" s="4">
        <f>'Export-dataset'!F5/'Export-dataset'!F4</f>
        <v>1.0326323422770123</v>
      </c>
      <c r="G2" s="4">
        <f>'Export-dataset'!G5/'Export-dataset'!G4</f>
        <v>1.2316622691292876</v>
      </c>
      <c r="H2" s="4">
        <f>'Export-dataset'!H5/'Export-dataset'!H4</f>
        <v>1.2277871418251867</v>
      </c>
      <c r="I2" s="4">
        <f>'Export-dataset'!I5/'Export-dataset'!I4</f>
        <v>1.0344827586206897</v>
      </c>
      <c r="J2" s="4">
        <f>'Export-dataset'!J5/'Export-dataset'!J4</f>
        <v>1.0165289256198347</v>
      </c>
      <c r="K2" s="4">
        <f>'Export-dataset'!K5/'Export-dataset'!K4</f>
        <v>1.0477001703577513</v>
      </c>
      <c r="L2" s="4">
        <f>'Export-dataset'!L5/'Export-dataset'!L4</f>
        <v>1.215092816787732</v>
      </c>
      <c r="M2" s="4">
        <f>'Export-dataset'!M5/'Export-dataset'!M4</f>
        <v>1.1313923105636432</v>
      </c>
      <c r="N2" s="4">
        <f>'Export-dataset'!N5/'Export-dataset'!N4</f>
        <v>1.1348659003831418</v>
      </c>
      <c r="O2" s="4">
        <f>'Export-dataset'!O5/'Export-dataset'!O4</f>
        <v>0.98529411764705888</v>
      </c>
      <c r="P2" s="4">
        <f>'Export-dataset'!P5/'Export-dataset'!P4</f>
        <v>1.189569605721051</v>
      </c>
      <c r="Q2" s="4">
        <f>'Export-dataset'!Q5/'Export-dataset'!Q4</f>
        <v>0.97702539298669888</v>
      </c>
      <c r="R2" s="4">
        <f>'Export-dataset'!R5/'Export-dataset'!R4</f>
        <v>1.3469964664310954</v>
      </c>
      <c r="S2" s="4">
        <f>'Export-dataset'!S5/'Export-dataset'!S4</f>
        <v>0</v>
      </c>
      <c r="T2" s="4">
        <f>'Export-dataset'!T5/'Export-dataset'!T4</f>
        <v>1.1164499717354437</v>
      </c>
      <c r="U2" s="4">
        <f>'Export-dataset'!U5/'Export-dataset'!U4</f>
        <v>1.1446280991735538</v>
      </c>
      <c r="V2" s="4">
        <f>'Export-dataset'!V5/'Export-dataset'!V4</f>
        <v>1.2393053790766624</v>
      </c>
      <c r="W2" s="4">
        <f>'Export-dataset'!W5/'Export-dataset'!W4</f>
        <v>2.3684210526315788</v>
      </c>
      <c r="X2" s="4">
        <f>'Export-dataset'!X5/'Export-dataset'!X4</f>
        <v>1.1780961711160094</v>
      </c>
      <c r="Y2" s="4">
        <f>'Export-dataset'!Y5/'Export-dataset'!Y4</f>
        <v>1.0420168067226891</v>
      </c>
      <c r="Z2" s="4">
        <f>'Export-dataset'!Z5/'Export-dataset'!Z4</f>
        <v>1.346326548698709</v>
      </c>
      <c r="AA2" s="4">
        <f>'Export-dataset'!AA5/'Export-dataset'!AA4</f>
        <v>1.3515246138196957</v>
      </c>
      <c r="AB2" s="4">
        <f>'Export-dataset'!AB5/'Export-dataset'!AB4</f>
        <v>1.1030809098761878</v>
      </c>
      <c r="AC2" s="4">
        <f>'Export-dataset'!AC5/'Export-dataset'!AC4</f>
        <v>1.4261363636363635</v>
      </c>
      <c r="AD2" s="4">
        <f>'Export-dataset'!AD5/'Export-dataset'!AD4</f>
        <v>1.0074074074074073</v>
      </c>
      <c r="AE2" s="4">
        <f>'Export-dataset'!AE5/'Export-dataset'!AE4</f>
        <v>0.92417061611374407</v>
      </c>
      <c r="AF2" s="4">
        <f>'Export-dataset'!AF5/'Export-dataset'!AF4</f>
        <v>1.1105990783410138</v>
      </c>
      <c r="AG2" s="4">
        <f>'Export-dataset'!AG5/'Export-dataset'!AG4</f>
        <v>1.3243243243243243</v>
      </c>
      <c r="AH2" s="4">
        <f>'Export-dataset'!AH5/'Export-dataset'!AH4</f>
        <v>1.032986733596271</v>
      </c>
      <c r="AI2" s="4">
        <f>'Export-dataset'!AI5/'Export-dataset'!AI4</f>
        <v>0.87665198237885467</v>
      </c>
      <c r="AJ2" s="4">
        <f>'Export-dataset'!AJ5/'Export-dataset'!AJ4</f>
        <v>1.0684931506849316</v>
      </c>
      <c r="AK2" s="4">
        <f>'Export-dataset'!AK5/'Export-dataset'!AK4</f>
        <v>1.1322314049586777</v>
      </c>
      <c r="AL2" s="4">
        <f>'Export-dataset'!AL5/'Export-dataset'!AL4</f>
        <v>0.99770510613884111</v>
      </c>
      <c r="AM2" s="4">
        <f>'Export-dataset'!AM5/'Export-dataset'!AM4</f>
        <v>1.1979695431472082</v>
      </c>
      <c r="AN2" s="4">
        <f>'Export-dataset'!AN5/'Export-dataset'!AN4</f>
        <v>0.71815718157181574</v>
      </c>
      <c r="AO2" s="4">
        <f>'Export-dataset'!AO5/'Export-dataset'!AO4</f>
        <v>1.0761904761904761</v>
      </c>
      <c r="AP2" s="4">
        <f>'Export-dataset'!AP5/'Export-dataset'!AP4</f>
        <v>1.0598086124401913</v>
      </c>
      <c r="AQ2" s="4">
        <f>'Export-dataset'!AQ5/'Export-dataset'!AQ4</f>
        <v>1.0065727699530516</v>
      </c>
      <c r="AR2" s="4">
        <f>'Export-dataset'!AR5/'Export-dataset'!AR4</f>
        <v>1.1001790243174698</v>
      </c>
      <c r="AS2" s="4">
        <f>'Export-dataset'!AS5/'Export-dataset'!AS4</f>
        <v>0.90217391304347827</v>
      </c>
      <c r="AT2" s="4">
        <f>'Export-dataset'!AT5/'Export-dataset'!AT4</f>
        <v>1.1951219512195121</v>
      </c>
      <c r="AU2" s="4">
        <f>'Export-dataset'!AU5/'Export-dataset'!AU4</f>
        <v>1.0360360360360361</v>
      </c>
      <c r="AV2" s="4">
        <f>'Export-dataset'!AV5/'Export-dataset'!AV4</f>
        <v>1.0294715447154472</v>
      </c>
      <c r="AW2" s="4">
        <f>'Export-dataset'!AW5/'Export-dataset'!AW4</f>
        <v>1.0223880597014925</v>
      </c>
      <c r="AX2" s="4">
        <f>'Export-dataset'!AX5/'Export-dataset'!AX4</f>
        <v>0.85094339622641513</v>
      </c>
      <c r="AY2" s="4">
        <f>'Export-dataset'!AY5/'Export-dataset'!AY4</f>
        <v>1.5232558139534884</v>
      </c>
      <c r="AZ2" s="4">
        <f>'Export-dataset'!AZ5/'Export-dataset'!AZ4</f>
        <v>1.1261026916987107</v>
      </c>
      <c r="BA2" s="4">
        <f>'Export-dataset'!BA5/'Export-dataset'!BA4</f>
        <v>1.0063233965672991</v>
      </c>
      <c r="BB2" s="4">
        <f>'Export-dataset'!BB5/'Export-dataset'!BB4</f>
        <v>0.95132254500552416</v>
      </c>
      <c r="BC2" s="4">
        <f>'Export-dataset'!BC5/'Export-dataset'!BC4</f>
        <v>0.8509174311926605</v>
      </c>
      <c r="BD2" s="4">
        <f>'Export-dataset'!BD5/'Export-dataset'!BD4</f>
        <v>1.0074786324786325</v>
      </c>
      <c r="BE2" s="4">
        <f>'Export-dataset'!BE5/'Export-dataset'!BE4</f>
        <v>1.1677018633540373</v>
      </c>
      <c r="BF2" s="4">
        <f>'Export-dataset'!BF5/'Export-dataset'!BF4</f>
        <v>0.96562362274129576</v>
      </c>
      <c r="BG2" s="4">
        <f>'Export-dataset'!BG5/'Export-dataset'!BG4</f>
        <v>0.79507133592736701</v>
      </c>
      <c r="BH2" s="4">
        <f>'Export-dataset'!BH5/'Export-dataset'!BH4</f>
        <v>1.1484018264840183</v>
      </c>
      <c r="BI2" s="4">
        <f>'Export-dataset'!BI5/'Export-dataset'!BI4</f>
        <v>1.0922531046717918</v>
      </c>
      <c r="BJ2" s="4">
        <f>'Export-dataset'!BJ5/'Export-dataset'!BJ4</f>
        <v>0.7700680272108843</v>
      </c>
      <c r="BK2" s="4">
        <f>'Export-dataset'!BK5/'Export-dataset'!BK4</f>
        <v>0.99694323144104802</v>
      </c>
      <c r="BL2" s="4">
        <f>'Export-dataset'!BL5/'Export-dataset'!BL4</f>
        <v>1.0455931686489783</v>
      </c>
      <c r="BM2" s="4">
        <f>'Export-dataset'!BM5/'Export-dataset'!BM4</f>
        <v>1.0588235294117647</v>
      </c>
      <c r="BN2" s="4">
        <f>'Export-dataset'!BN5/'Export-dataset'!BN4</f>
        <v>1.0601503759398496</v>
      </c>
      <c r="BO2" s="4">
        <f>'Export-dataset'!BO5/'Export-dataset'!BO4</f>
        <v>1.09375</v>
      </c>
      <c r="BP2" s="4">
        <f>'Export-dataset'!BP5/'Export-dataset'!BP4</f>
        <v>1</v>
      </c>
      <c r="BQ2" s="4">
        <f>'Export-dataset'!BQ5/'Export-dataset'!BQ4</f>
        <v>1.25</v>
      </c>
      <c r="BR2" s="4">
        <f>'Export-dataset'!BR5/'Export-dataset'!BR4</f>
        <v>1.0343601895734598</v>
      </c>
      <c r="BS2" s="4">
        <f>'Export-dataset'!BS5/'Export-dataset'!BS4</f>
        <v>1.0440097799511003</v>
      </c>
      <c r="BT2" s="4">
        <f>'Export-dataset'!BT5/'Export-dataset'!BT4</f>
        <v>1.054157931516422</v>
      </c>
      <c r="BU2" s="4">
        <f>'Export-dataset'!BU5/'Export-dataset'!BU4</f>
        <v>0.92973189567244641</v>
      </c>
      <c r="BV2" s="4">
        <f>'Export-dataset'!BV5/'Export-dataset'!BV4</f>
        <v>0.94305822136916184</v>
      </c>
      <c r="BW2" s="4">
        <f>'Export-dataset'!BW5/'Export-dataset'!BW4</f>
        <v>0.68452982810920127</v>
      </c>
      <c r="BX2" s="4">
        <f>'Export-dataset'!BX5/'Export-dataset'!BX4</f>
        <v>1</v>
      </c>
      <c r="BY2" s="4">
        <f>'Export-dataset'!BY5/'Export-dataset'!BY4</f>
        <v>0.9344010181895317</v>
      </c>
      <c r="BZ2" s="4">
        <f>'Export-dataset'!BZ5/'Export-dataset'!BZ4</f>
        <v>0.95134866788019201</v>
      </c>
      <c r="CA2" s="4">
        <f>'Export-dataset'!CA5/'Export-dataset'!CA4</f>
        <v>1.1658419384916567</v>
      </c>
    </row>
    <row r="3" spans="1:79" x14ac:dyDescent="0.2">
      <c r="A3" s="4" t="s">
        <v>162</v>
      </c>
      <c r="B3" s="4">
        <f>'Export-dataset'!B6/'Export-dataset'!B5</f>
        <v>0.96379385725215871</v>
      </c>
      <c r="C3" s="4">
        <f>'Export-dataset'!C6/'Export-dataset'!C5</f>
        <v>1.1279357231149567</v>
      </c>
      <c r="D3" s="4">
        <f>'Export-dataset'!D6/'Export-dataset'!D5</f>
        <v>1.1496535406455974</v>
      </c>
      <c r="E3" s="4">
        <f>'Export-dataset'!E6/'Export-dataset'!E5</f>
        <v>1.0579957356076759</v>
      </c>
      <c r="F3" s="4">
        <f>'Export-dataset'!F6/'Export-dataset'!F5</f>
        <v>1.0316011235955056</v>
      </c>
      <c r="G3" s="4">
        <f>'Export-dataset'!G6/'Export-dataset'!G5</f>
        <v>0.78470437017994854</v>
      </c>
      <c r="H3" s="4">
        <f>'Export-dataset'!H6/'Export-dataset'!H5</f>
        <v>0.69954893116297312</v>
      </c>
      <c r="I3" s="4">
        <f>'Export-dataset'!I6/'Export-dataset'!I5</f>
        <v>0.90909090909090906</v>
      </c>
      <c r="J3" s="4">
        <f>'Export-dataset'!J6/'Export-dataset'!J5</f>
        <v>1.065040650406504</v>
      </c>
      <c r="K3" s="4">
        <f>'Export-dataset'!K6/'Export-dataset'!K5</f>
        <v>1.1048780487804879</v>
      </c>
      <c r="L3" s="4">
        <f>'Export-dataset'!L6/'Export-dataset'!L5</f>
        <v>0.9784124875456659</v>
      </c>
      <c r="M3" s="4">
        <f>'Export-dataset'!M6/'Export-dataset'!M5</f>
        <v>1.1141537446387331</v>
      </c>
      <c r="N3" s="4">
        <f>'Export-dataset'!N6/'Export-dataset'!N5</f>
        <v>1.1201890614449697</v>
      </c>
      <c r="O3" s="4">
        <f>'Export-dataset'!O6/'Export-dataset'!O5</f>
        <v>0.88059701492537312</v>
      </c>
      <c r="P3" s="4">
        <f>'Export-dataset'!P6/'Export-dataset'!P5</f>
        <v>1.074452363958059</v>
      </c>
      <c r="Q3" s="4">
        <f>'Export-dataset'!Q6/'Export-dataset'!Q5</f>
        <v>0.90470297029702973</v>
      </c>
      <c r="R3" s="4">
        <f>'Export-dataset'!R6/'Export-dataset'!R5</f>
        <v>0.73347324239244494</v>
      </c>
      <c r="S3" s="4"/>
      <c r="T3" s="4">
        <f>'Export-dataset'!T6/'Export-dataset'!T5</f>
        <v>1.1230379746835444</v>
      </c>
      <c r="U3" s="4">
        <f>'Export-dataset'!U6/'Export-dataset'!U5</f>
        <v>0.8592057761732852</v>
      </c>
      <c r="V3" s="4">
        <f>'Export-dataset'!V6/'Export-dataset'!V5</f>
        <v>1.1062884483937117</v>
      </c>
      <c r="W3" s="4">
        <f>'Export-dataset'!W6/'Export-dataset'!W5</f>
        <v>1.3396825396825396</v>
      </c>
      <c r="X3" s="4">
        <f>'Export-dataset'!X6/'Export-dataset'!X5</f>
        <v>1.0754074125405679</v>
      </c>
      <c r="Y3" s="4">
        <f>'Export-dataset'!Y6/'Export-dataset'!Y5</f>
        <v>1.1774193548387097</v>
      </c>
      <c r="Z3" s="4">
        <f>'Export-dataset'!Z6/'Export-dataset'!Z5</f>
        <v>1.3414189952714786</v>
      </c>
      <c r="AA3" s="4">
        <f>'Export-dataset'!AA6/'Export-dataset'!AA5</f>
        <v>1.1700418322160573</v>
      </c>
      <c r="AB3" s="4">
        <f>'Export-dataset'!AB6/'Export-dataset'!AB5</f>
        <v>1.4605847037327069</v>
      </c>
      <c r="AC3" s="4">
        <f>'Export-dataset'!AC6/'Export-dataset'!AC5</f>
        <v>1.6782014797951053</v>
      </c>
      <c r="AD3" s="4">
        <f>'Export-dataset'!AD6/'Export-dataset'!AD5</f>
        <v>0.97499999999999998</v>
      </c>
      <c r="AE3" s="4">
        <f>'Export-dataset'!AE6/'Export-dataset'!AE5</f>
        <v>0.94358974358974357</v>
      </c>
      <c r="AF3" s="4">
        <f>'Export-dataset'!AF6/'Export-dataset'!AF5</f>
        <v>0.99585062240663902</v>
      </c>
      <c r="AG3" s="4">
        <f>'Export-dataset'!AG6/'Export-dataset'!AG5</f>
        <v>1.1224489795918366</v>
      </c>
      <c r="AH3" s="4">
        <f>'Export-dataset'!AH6/'Export-dataset'!AH5</f>
        <v>1.2160129584634964</v>
      </c>
      <c r="AI3" s="4">
        <f>'Export-dataset'!AI6/'Export-dataset'!AI5</f>
        <v>1.0100502512562815</v>
      </c>
      <c r="AJ3" s="4">
        <f>'Export-dataset'!AJ6/'Export-dataset'!AJ5</f>
        <v>1.3347578347578348</v>
      </c>
      <c r="AK3" s="4">
        <f>'Export-dataset'!AK6/'Export-dataset'!AK5</f>
        <v>1.0729927007299269</v>
      </c>
      <c r="AL3" s="4">
        <f>'Export-dataset'!AL6/'Export-dataset'!AL5</f>
        <v>1.3657274295572168</v>
      </c>
      <c r="AM3" s="4">
        <f>'Export-dataset'!AM6/'Export-dataset'!AM5</f>
        <v>1.1406779661016948</v>
      </c>
      <c r="AN3" s="4">
        <f>'Export-dataset'!AN6/'Export-dataset'!AN5</f>
        <v>1.2075471698113207</v>
      </c>
      <c r="AO3" s="4">
        <f>'Export-dataset'!AO6/'Export-dataset'!AO5</f>
        <v>0.87905604719764008</v>
      </c>
      <c r="AP3" s="4">
        <f>'Export-dataset'!AP6/'Export-dataset'!AP5</f>
        <v>1</v>
      </c>
      <c r="AQ3" s="4">
        <f>'Export-dataset'!AQ6/'Export-dataset'!AQ5</f>
        <v>1.1054104477611941</v>
      </c>
      <c r="AR3" s="4">
        <f>'Export-dataset'!AR6/'Export-dataset'!AR5</f>
        <v>1.1547223540579021</v>
      </c>
      <c r="AS3" s="4">
        <f>'Export-dataset'!AS6/'Export-dataset'!AS5</f>
        <v>1</v>
      </c>
      <c r="AT3" s="4">
        <f>'Export-dataset'!AT6/'Export-dataset'!AT5</f>
        <v>1.0442176870748299</v>
      </c>
      <c r="AU3" s="4">
        <f>'Export-dataset'!AU6/'Export-dataset'!AU5</f>
        <v>0.84347826086956523</v>
      </c>
      <c r="AV3" s="4">
        <f>'Export-dataset'!AV6/'Export-dataset'!AV5</f>
        <v>1.1303060217176704</v>
      </c>
      <c r="AW3" s="4">
        <f>'Export-dataset'!AW6/'Export-dataset'!AW5</f>
        <v>0.9963503649635036</v>
      </c>
      <c r="AX3" s="4">
        <f>'Export-dataset'!AX6/'Export-dataset'!AX5</f>
        <v>1.0277161862527717</v>
      </c>
      <c r="AY3" s="4">
        <f>'Export-dataset'!AY6/'Export-dataset'!AY5</f>
        <v>1.1221374045801527</v>
      </c>
      <c r="AZ3" s="4">
        <f>'Export-dataset'!AZ6/'Export-dataset'!AZ5</f>
        <v>1.1874058451340765</v>
      </c>
      <c r="BA3" s="4">
        <f>'Export-dataset'!BA6/'Export-dataset'!BA5</f>
        <v>1.1355475763016158</v>
      </c>
      <c r="BB3" s="4">
        <f>'Export-dataset'!BB6/'Export-dataset'!BB5</f>
        <v>1.0487771553490914</v>
      </c>
      <c r="BC3" s="4">
        <f>'Export-dataset'!BC6/'Export-dataset'!BC5</f>
        <v>1.2654986522911051</v>
      </c>
      <c r="BD3" s="4">
        <f>'Export-dataset'!BD6/'Export-dataset'!BD5</f>
        <v>0.97189819724284199</v>
      </c>
      <c r="BE3" s="4">
        <f>'Export-dataset'!BE6/'Export-dataset'!BE5</f>
        <v>1.4627659574468086</v>
      </c>
      <c r="BF3" s="4">
        <f>'Export-dataset'!BF6/'Export-dataset'!BF5</f>
        <v>1.0479233226837061</v>
      </c>
      <c r="BG3" s="4">
        <f>'Export-dataset'!BG6/'Export-dataset'!BG5</f>
        <v>1.0473083197389885</v>
      </c>
      <c r="BH3" s="4">
        <f>'Export-dataset'!BH6/'Export-dataset'!BH5</f>
        <v>0.99801192842942343</v>
      </c>
      <c r="BI3" s="4">
        <f>'Export-dataset'!BI6/'Export-dataset'!BI5</f>
        <v>1.1250676773145643</v>
      </c>
      <c r="BJ3" s="4">
        <f>'Export-dataset'!BJ6/'Export-dataset'!BJ5</f>
        <v>0.74779151943462896</v>
      </c>
      <c r="BK3" s="4">
        <f>'Export-dataset'!BK6/'Export-dataset'!BK5</f>
        <v>1.2899693385895752</v>
      </c>
      <c r="BL3" s="4">
        <f>'Export-dataset'!BL6/'Export-dataset'!BL5</f>
        <v>1.0628554761557532</v>
      </c>
      <c r="BM3" s="4">
        <f>'Export-dataset'!BM6/'Export-dataset'!BM5</f>
        <v>1.125</v>
      </c>
      <c r="BN3" s="4">
        <f>'Export-dataset'!BN6/'Export-dataset'!BN5</f>
        <v>1.0780141843971631</v>
      </c>
      <c r="BO3" s="4">
        <f>'Export-dataset'!BO6/'Export-dataset'!BO5</f>
        <v>1.1428571428571428</v>
      </c>
      <c r="BP3" s="4">
        <f>'Export-dataset'!BP6/'Export-dataset'!BP5</f>
        <v>1.024390243902439</v>
      </c>
      <c r="BQ3" s="4">
        <f>'Export-dataset'!BQ6/'Export-dataset'!BQ5</f>
        <v>1.0782608695652174</v>
      </c>
      <c r="BR3" s="4">
        <f>'Export-dataset'!BR6/'Export-dataset'!BR5</f>
        <v>1.0557464681176021</v>
      </c>
      <c r="BS3" s="4">
        <f>'Export-dataset'!BS6/'Export-dataset'!BS5</f>
        <v>1.0304449648711944</v>
      </c>
      <c r="BT3" s="4">
        <f>'Export-dataset'!BT6/'Export-dataset'!BT5</f>
        <v>1.0709313887968179</v>
      </c>
      <c r="BU3" s="4">
        <f>'Export-dataset'!BU6/'Export-dataset'!BU5</f>
        <v>1.0177095169063197</v>
      </c>
      <c r="BV3" s="4">
        <f>'Export-dataset'!BV6/'Export-dataset'!BV5</f>
        <v>0.93012211668928091</v>
      </c>
      <c r="BW3" s="4">
        <f>'Export-dataset'!BW6/'Export-dataset'!BW5</f>
        <v>1.2023633677991137</v>
      </c>
      <c r="BX3" s="4">
        <f>'Export-dataset'!BX6/'Export-dataset'!BX5</f>
        <v>0</v>
      </c>
      <c r="BY3" s="4">
        <f>'Export-dataset'!BY6/'Export-dataset'!BY5</f>
        <v>1.086038592508513</v>
      </c>
      <c r="BZ3" s="4">
        <f>'Export-dataset'!BZ6/'Export-dataset'!BZ5</f>
        <v>0.8090102626543747</v>
      </c>
      <c r="CA3" s="4">
        <f>'Export-dataset'!CA6/'Export-dataset'!CA5</f>
        <v>1.1436313193997358</v>
      </c>
    </row>
    <row r="4" spans="1:79" x14ac:dyDescent="0.2">
      <c r="A4" s="4" t="s">
        <v>163</v>
      </c>
      <c r="B4" s="4">
        <f>'Export-dataset'!B7/'Export-dataset'!B6</f>
        <v>1.0674208273085537</v>
      </c>
      <c r="C4" s="4">
        <f>'Export-dataset'!C7/'Export-dataset'!C6</f>
        <v>1.1649315068493151</v>
      </c>
      <c r="D4" s="4">
        <f>'Export-dataset'!D7/'Export-dataset'!D6</f>
        <v>1.2099963248805585</v>
      </c>
      <c r="E4" s="4">
        <f>'Export-dataset'!E7/'Export-dataset'!E6</f>
        <v>1.0028214429665459</v>
      </c>
      <c r="F4" s="4">
        <f>'Export-dataset'!F7/'Export-dataset'!F6</f>
        <v>1.0408441116405718</v>
      </c>
      <c r="G4" s="4">
        <f>'Export-dataset'!G7/'Export-dataset'!G6</f>
        <v>0.80412230412230412</v>
      </c>
      <c r="H4" s="4">
        <f>'Export-dataset'!H7/'Export-dataset'!H6</f>
        <v>1.1527894589290721</v>
      </c>
      <c r="I4" s="4">
        <f>'Export-dataset'!I7/'Export-dataset'!I6</f>
        <v>0.89333333333333331</v>
      </c>
      <c r="J4" s="4">
        <f>'Export-dataset'!J7/'Export-dataset'!J6</f>
        <v>1.0814249363867685</v>
      </c>
      <c r="K4" s="4">
        <f>'Export-dataset'!K7/'Export-dataset'!K6</f>
        <v>1.011037527593819</v>
      </c>
      <c r="L4" s="4">
        <f>'Export-dataset'!L7/'Export-dataset'!L6</f>
        <v>1.0105227427019687</v>
      </c>
      <c r="M4" s="4">
        <f>'Export-dataset'!M7/'Export-dataset'!M6</f>
        <v>1.0607047675451584</v>
      </c>
      <c r="N4" s="4">
        <f>'Export-dataset'!N7/'Export-dataset'!N6</f>
        <v>1.0617842073538275</v>
      </c>
      <c r="O4" s="4">
        <f>'Export-dataset'!O7/'Export-dataset'!O6</f>
        <v>1</v>
      </c>
      <c r="P4" s="4">
        <f>'Export-dataset'!P7/'Export-dataset'!P6</f>
        <v>1.2763498909982316</v>
      </c>
      <c r="Q4" s="4">
        <f>'Export-dataset'!Q7/'Export-dataset'!Q6</f>
        <v>0.79206566347469221</v>
      </c>
      <c r="R4" s="4">
        <f>'Export-dataset'!R7/'Export-dataset'!R6</f>
        <v>0.75178826895565098</v>
      </c>
      <c r="S4" s="4">
        <f>'Export-dataset'!S7/'Export-dataset'!S6</f>
        <v>1.3333333333333333</v>
      </c>
      <c r="T4" s="4">
        <f>'Export-dataset'!T7/'Export-dataset'!T6</f>
        <v>1.0031559963931469</v>
      </c>
      <c r="U4" s="4">
        <f>'Export-dataset'!U7/'Export-dataset'!U6</f>
        <v>0.76890756302521013</v>
      </c>
      <c r="V4" s="4">
        <f>'Export-dataset'!V7/'Export-dataset'!V6</f>
        <v>0.74822366388631445</v>
      </c>
      <c r="W4" s="4">
        <f>'Export-dataset'!W7/'Export-dataset'!W6</f>
        <v>0.81374407582938391</v>
      </c>
      <c r="X4" s="4">
        <f>'Export-dataset'!X7/'Export-dataset'!X6</f>
        <v>1.3447353724546782</v>
      </c>
      <c r="Y4" s="4">
        <f>'Export-dataset'!Y7/'Export-dataset'!Y6</f>
        <v>1</v>
      </c>
      <c r="Z4" s="4">
        <f>'Export-dataset'!Z7/'Export-dataset'!Z6</f>
        <v>1.0328701469710229</v>
      </c>
      <c r="AA4" s="4">
        <f>'Export-dataset'!AA7/'Export-dataset'!AA6</f>
        <v>0.95651328386787937</v>
      </c>
      <c r="AB4" s="4">
        <f>'Export-dataset'!AB7/'Export-dataset'!AB6</f>
        <v>1.0923063175766241</v>
      </c>
      <c r="AC4" s="4">
        <f>'Export-dataset'!AC7/'Export-dataset'!AC6</f>
        <v>1.1332835922132538</v>
      </c>
      <c r="AD4" s="4">
        <f>'Export-dataset'!AD7/'Export-dataset'!AD6</f>
        <v>0.97586726998491702</v>
      </c>
      <c r="AE4" s="4">
        <f>'Export-dataset'!AE7/'Export-dataset'!AE6</f>
        <v>0.97554347826086951</v>
      </c>
      <c r="AF4" s="4">
        <f>'Export-dataset'!AF7/'Export-dataset'!AF6</f>
        <v>1.0125</v>
      </c>
      <c r="AG4" s="4">
        <f>'Export-dataset'!AG7/'Export-dataset'!AG6</f>
        <v>0.8545454545454545</v>
      </c>
      <c r="AH4" s="4">
        <f>'Export-dataset'!AH7/'Export-dataset'!AH6</f>
        <v>1.139010466222645</v>
      </c>
      <c r="AI4" s="4">
        <f>'Export-dataset'!AI7/'Export-dataset'!AI6</f>
        <v>1.0547263681592041</v>
      </c>
      <c r="AJ4" s="4">
        <f>'Export-dataset'!AJ7/'Export-dataset'!AJ6</f>
        <v>0.80469583778014941</v>
      </c>
      <c r="AK4" s="4">
        <f>'Export-dataset'!AK7/'Export-dataset'!AK6</f>
        <v>0.97959183673469385</v>
      </c>
      <c r="AL4" s="4">
        <f>'Export-dataset'!AL7/'Export-dataset'!AL6</f>
        <v>1.315578947368421</v>
      </c>
      <c r="AM4" s="4">
        <f>'Export-dataset'!AM7/'Export-dataset'!AM6</f>
        <v>1.138187221396731</v>
      </c>
      <c r="AN4" s="4">
        <f>'Export-dataset'!AN7/'Export-dataset'!AN6</f>
        <v>0.81874999999999998</v>
      </c>
      <c r="AO4" s="4">
        <f>'Export-dataset'!AO7/'Export-dataset'!AO6</f>
        <v>1.1006711409395973</v>
      </c>
      <c r="AP4" s="4">
        <f>'Export-dataset'!AP7/'Export-dataset'!AP6</f>
        <v>0.89616252821670428</v>
      </c>
      <c r="AQ4" s="4">
        <f>'Export-dataset'!AQ7/'Export-dataset'!AQ6</f>
        <v>1.0337552742616034</v>
      </c>
      <c r="AR4" s="4">
        <f>'Export-dataset'!AR7/'Export-dataset'!AR6</f>
        <v>1.0314720216076567</v>
      </c>
      <c r="AS4" s="4">
        <f>'Export-dataset'!AS7/'Export-dataset'!AS6</f>
        <v>0.8493975903614458</v>
      </c>
      <c r="AT4" s="4">
        <f>'Export-dataset'!AT7/'Export-dataset'!AT6</f>
        <v>1.0586319218241043</v>
      </c>
      <c r="AU4" s="4">
        <f>'Export-dataset'!AU7/'Export-dataset'!AU6</f>
        <v>1.1134020618556701</v>
      </c>
      <c r="AV4" s="4">
        <f>'Export-dataset'!AV7/'Export-dataset'!AV6</f>
        <v>0.95545851528384285</v>
      </c>
      <c r="AW4" s="4">
        <f>'Export-dataset'!AW7/'Export-dataset'!AW6</f>
        <v>1.1172161172161172</v>
      </c>
      <c r="AX4" s="4">
        <f>'Export-dataset'!AX7/'Export-dataset'!AX6</f>
        <v>1.0841423948220066</v>
      </c>
      <c r="AY4" s="4">
        <f>'Export-dataset'!AY7/'Export-dataset'!AY6</f>
        <v>1.1827016520894071</v>
      </c>
      <c r="AZ4" s="4">
        <f>'Export-dataset'!AZ7/'Export-dataset'!AZ6</f>
        <v>1.0148862386873043</v>
      </c>
      <c r="BA4" s="4">
        <f>'Export-dataset'!BA7/'Export-dataset'!BA6</f>
        <v>1.0845849802371541</v>
      </c>
      <c r="BB4" s="4">
        <f>'Export-dataset'!BB7/'Export-dataset'!BB6</f>
        <v>1.1068264721208962</v>
      </c>
      <c r="BC4" s="4">
        <f>'Export-dataset'!BC7/'Export-dataset'!BC6</f>
        <v>1.1331203407880723</v>
      </c>
      <c r="BD4" s="4">
        <f>'Export-dataset'!BD7/'Export-dataset'!BD6</f>
        <v>1.0698308783415167</v>
      </c>
      <c r="BE4" s="4">
        <f>'Export-dataset'!BE7/'Export-dataset'!BE6</f>
        <v>0.69818181818181824</v>
      </c>
      <c r="BF4" s="4">
        <f>'Export-dataset'!BF7/'Export-dataset'!BF6</f>
        <v>1.0696864111498259</v>
      </c>
      <c r="BG4" s="4">
        <f>'Export-dataset'!BG7/'Export-dataset'!BG6</f>
        <v>1.0981308411214954</v>
      </c>
      <c r="BH4" s="4">
        <f>'Export-dataset'!BH7/'Export-dataset'!BH6</f>
        <v>1.3232071713147411</v>
      </c>
      <c r="BI4" s="4">
        <f>'Export-dataset'!BI7/'Export-dataset'!BI6</f>
        <v>1.0255052935514919</v>
      </c>
      <c r="BJ4" s="4">
        <f>'Export-dataset'!BJ7/'Export-dataset'!BJ6</f>
        <v>1.1334908446544596</v>
      </c>
      <c r="BK4" s="4">
        <f>'Export-dataset'!BK7/'Export-dataset'!BK6</f>
        <v>1.0893039049235993</v>
      </c>
      <c r="BL4" s="4">
        <f>'Export-dataset'!BL7/'Export-dataset'!BL6</f>
        <v>1.1262349066959385</v>
      </c>
      <c r="BM4" s="4">
        <f>'Export-dataset'!BM7/'Export-dataset'!BM6</f>
        <v>0.96913580246913578</v>
      </c>
      <c r="BN4" s="4">
        <f>'Export-dataset'!BN7/'Export-dataset'!BN6</f>
        <v>1.1973684210526316</v>
      </c>
      <c r="BO4" s="4">
        <f>'Export-dataset'!BO7/'Export-dataset'!BO6</f>
        <v>1.175</v>
      </c>
      <c r="BP4" s="4">
        <f>'Export-dataset'!BP7/'Export-dataset'!BP6</f>
        <v>1.1220238095238095</v>
      </c>
      <c r="BQ4" s="4">
        <f>'Export-dataset'!BQ7/'Export-dataset'!BQ6</f>
        <v>0.9838709677419355</v>
      </c>
      <c r="BR4" s="4">
        <f>'Export-dataset'!BR7/'Export-dataset'!BR6</f>
        <v>1.4126582278481012</v>
      </c>
      <c r="BS4" s="4">
        <f>'Export-dataset'!BS7/'Export-dataset'!BS6</f>
        <v>1.0590909090909091</v>
      </c>
      <c r="BT4" s="4">
        <f>'Export-dataset'!BT7/'Export-dataset'!BT6</f>
        <v>0.89786443825441042</v>
      </c>
      <c r="BU4" s="4">
        <f>'Export-dataset'!BU7/'Export-dataset'!BU6</f>
        <v>1.1804042348411934</v>
      </c>
      <c r="BV4" s="4">
        <f>'Export-dataset'!BV7/'Export-dataset'!BV6</f>
        <v>0.90371991247264771</v>
      </c>
      <c r="BW4" s="4">
        <f>'Export-dataset'!BW7/'Export-dataset'!BW6</f>
        <v>1.0577395577395576</v>
      </c>
      <c r="BX4" s="4"/>
      <c r="BY4" s="4">
        <f>'Export-dataset'!BY7/'Export-dataset'!BY6</f>
        <v>1.2213628762541806</v>
      </c>
      <c r="BZ4" s="4">
        <f>'Export-dataset'!BZ7/'Export-dataset'!BZ6</f>
        <v>1.1154590410664373</v>
      </c>
      <c r="CA4" s="4">
        <f>'Export-dataset'!CA7/'Export-dataset'!CA6</f>
        <v>1.131642557636783</v>
      </c>
    </row>
    <row r="5" spans="1:79" x14ac:dyDescent="0.2">
      <c r="A5" s="4" t="s">
        <v>164</v>
      </c>
      <c r="B5" s="4">
        <f>'Export-dataset'!B8/'Export-dataset'!B7</f>
        <v>0.94631995537730085</v>
      </c>
      <c r="C5" s="4">
        <f>'Export-dataset'!C8/'Export-dataset'!C7</f>
        <v>0.91674506114769516</v>
      </c>
      <c r="D5" s="4">
        <f>'Export-dataset'!D8/'Export-dataset'!D7</f>
        <v>0.89326934758838539</v>
      </c>
      <c r="E5" s="4">
        <f>'Export-dataset'!E8/'Export-dataset'!E7</f>
        <v>1.022508038585209</v>
      </c>
      <c r="F5" s="4">
        <f>'Export-dataset'!F8/'Export-dataset'!F7</f>
        <v>0.80379332897318512</v>
      </c>
      <c r="G5" s="4">
        <f>'Export-dataset'!G8/'Export-dataset'!G7</f>
        <v>1.0931930062807673</v>
      </c>
      <c r="H5" s="4">
        <f>'Export-dataset'!H8/'Export-dataset'!H7</f>
        <v>1.003647859922179</v>
      </c>
      <c r="I5" s="4">
        <f>'Export-dataset'!I8/'Export-dataset'!I7</f>
        <v>1.0559701492537314</v>
      </c>
      <c r="J5" s="4">
        <f>'Export-dataset'!J8/'Export-dataset'!J7</f>
        <v>1.0517647058823529</v>
      </c>
      <c r="K5" s="4">
        <f>'Export-dataset'!K8/'Export-dataset'!K7</f>
        <v>0.95342066957787486</v>
      </c>
      <c r="L5" s="4">
        <f>'Export-dataset'!L8/'Export-dataset'!L7</f>
        <v>0.87033926771918035</v>
      </c>
      <c r="M5" s="4">
        <f>'Export-dataset'!M8/'Export-dataset'!M7</f>
        <v>0.91652707984366277</v>
      </c>
      <c r="N5" s="4">
        <f>'Export-dataset'!N8/'Export-dataset'!N7</f>
        <v>0.92137382912290666</v>
      </c>
      <c r="O5" s="4">
        <f>'Export-dataset'!O8/'Export-dataset'!O7</f>
        <v>0.6271186440677966</v>
      </c>
      <c r="P5" s="4">
        <f>'Export-dataset'!P8/'Export-dataset'!P7</f>
        <v>1.1140123886669355</v>
      </c>
      <c r="Q5" s="4">
        <f>'Export-dataset'!Q8/'Export-dataset'!Q7</f>
        <v>0.71502590673575128</v>
      </c>
      <c r="R5" s="4">
        <f>'Export-dataset'!R8/'Export-dataset'!R7</f>
        <v>1.1255946717411989</v>
      </c>
      <c r="S5" s="4">
        <f>'Export-dataset'!S8/'Export-dataset'!S7</f>
        <v>0.5</v>
      </c>
      <c r="T5" s="4">
        <f>'Export-dataset'!T8/'Export-dataset'!T7</f>
        <v>0.75011235955056177</v>
      </c>
      <c r="U5" s="4">
        <f>'Export-dataset'!U8/'Export-dataset'!U7</f>
        <v>0.93989071038251371</v>
      </c>
      <c r="V5" s="4">
        <f>'Export-dataset'!V8/'Export-dataset'!V7</f>
        <v>0.56544178364987618</v>
      </c>
      <c r="W5" s="4">
        <f>'Export-dataset'!W8/'Export-dataset'!W7</f>
        <v>0.67734420500873616</v>
      </c>
      <c r="X5" s="4">
        <f>'Export-dataset'!X8/'Export-dataset'!X7</f>
        <v>1.1506017841882901</v>
      </c>
      <c r="Y5" s="4">
        <f>'Export-dataset'!Y8/'Export-dataset'!Y7</f>
        <v>0.94349315068493156</v>
      </c>
      <c r="Z5" s="4">
        <f>'Export-dataset'!Z8/'Export-dataset'!Z7</f>
        <v>0.70332098061573545</v>
      </c>
      <c r="AA5" s="4">
        <f>'Export-dataset'!AA8/'Export-dataset'!AA7</f>
        <v>0.67823462254265654</v>
      </c>
      <c r="AB5" s="4">
        <f>'Export-dataset'!AB8/'Export-dataset'!AB7</f>
        <v>0.63440772251308897</v>
      </c>
      <c r="AC5" s="4">
        <f>'Export-dataset'!AC8/'Export-dataset'!AC7</f>
        <v>0.75211475540659167</v>
      </c>
      <c r="AD5" s="4">
        <f>'Export-dataset'!AD8/'Export-dataset'!AD7</f>
        <v>1.1761978361669243</v>
      </c>
      <c r="AE5" s="4">
        <f>'Export-dataset'!AE8/'Export-dataset'!AE7</f>
        <v>1.2367688022284122</v>
      </c>
      <c r="AF5" s="4">
        <f>'Export-dataset'!AF8/'Export-dataset'!AF7</f>
        <v>1.1604938271604939</v>
      </c>
      <c r="AG5" s="4">
        <f>'Export-dataset'!AG8/'Export-dataset'!AG7</f>
        <v>0.7021276595744681</v>
      </c>
      <c r="AH5" s="4">
        <f>'Export-dataset'!AH8/'Export-dataset'!AH7</f>
        <v>0.92657255032996411</v>
      </c>
      <c r="AI5" s="4">
        <f>'Export-dataset'!AI8/'Export-dataset'!AI7</f>
        <v>1.070754716981132</v>
      </c>
      <c r="AJ5" s="4">
        <f>'Export-dataset'!AJ8/'Export-dataset'!AJ7</f>
        <v>0.85013262599469497</v>
      </c>
      <c r="AK5" s="4">
        <f>'Export-dataset'!AK8/'Export-dataset'!AK7</f>
        <v>0.88690476190476186</v>
      </c>
      <c r="AL5" s="4">
        <f>'Export-dataset'!AL8/'Export-dataset'!AL7</f>
        <v>0.88766202592414789</v>
      </c>
      <c r="AM5" s="4">
        <f>'Export-dataset'!AM8/'Export-dataset'!AM7</f>
        <v>1.0378590078328982</v>
      </c>
      <c r="AN5" s="4">
        <f>'Export-dataset'!AN8/'Export-dataset'!AN7</f>
        <v>1.2595419847328244</v>
      </c>
      <c r="AO5" s="4">
        <f>'Export-dataset'!AO8/'Export-dataset'!AO7</f>
        <v>0.70731707317073167</v>
      </c>
      <c r="AP5" s="4">
        <f>'Export-dataset'!AP8/'Export-dataset'!AP7</f>
        <v>0.78337531486146095</v>
      </c>
      <c r="AQ5" s="4">
        <f>'Export-dataset'!AQ8/'Export-dataset'!AQ7</f>
        <v>1.0816326530612246</v>
      </c>
      <c r="AR5" s="4">
        <f>'Export-dataset'!AR8/'Export-dataset'!AR7</f>
        <v>0.837251665053794</v>
      </c>
      <c r="AS5" s="4">
        <f>'Export-dataset'!AS8/'Export-dataset'!AS7</f>
        <v>0.79432624113475181</v>
      </c>
      <c r="AT5" s="4">
        <f>'Export-dataset'!AT8/'Export-dataset'!AT7</f>
        <v>0.8</v>
      </c>
      <c r="AU5" s="4">
        <f>'Export-dataset'!AU8/'Export-dataset'!AU7</f>
        <v>0.95370370370370372</v>
      </c>
      <c r="AV5" s="4">
        <f>'Export-dataset'!AV8/'Export-dataset'!AV7</f>
        <v>0.8537477148080439</v>
      </c>
      <c r="AW5" s="4">
        <f>'Export-dataset'!AW8/'Export-dataset'!AW7</f>
        <v>0.90491803278688521</v>
      </c>
      <c r="AX5" s="4">
        <f>'Export-dataset'!AX8/'Export-dataset'!AX7</f>
        <v>0.73233830845771142</v>
      </c>
      <c r="AY5" s="4">
        <f>'Export-dataset'!AY8/'Export-dataset'!AY7</f>
        <v>0.7559572719802794</v>
      </c>
      <c r="AZ5" s="4">
        <f>'Export-dataset'!AZ8/'Export-dataset'!AZ7</f>
        <v>0.85132094341195097</v>
      </c>
      <c r="BA5" s="4">
        <f>'Export-dataset'!BA8/'Export-dataset'!BA7</f>
        <v>0.84110787172011658</v>
      </c>
      <c r="BB5" s="4">
        <f>'Export-dataset'!BB8/'Export-dataset'!BB7</f>
        <v>0.86381826741996237</v>
      </c>
      <c r="BC5" s="4">
        <f>'Export-dataset'!BC8/'Export-dataset'!BC7</f>
        <v>1.0037593984962405</v>
      </c>
      <c r="BD5" s="4">
        <f>'Export-dataset'!BD8/'Export-dataset'!BD7</f>
        <v>0.90209077001529836</v>
      </c>
      <c r="BE5" s="4">
        <f>'Export-dataset'!BE8/'Export-dataset'!BE7</f>
        <v>0.71875</v>
      </c>
      <c r="BF5" s="4">
        <f>'Export-dataset'!BF8/'Export-dataset'!BF7</f>
        <v>0.88110749185667747</v>
      </c>
      <c r="BG5" s="4">
        <f>'Export-dataset'!BG8/'Export-dataset'!BG7</f>
        <v>0.92198581560283688</v>
      </c>
      <c r="BH5" s="4">
        <f>'Export-dataset'!BH8/'Export-dataset'!BH7</f>
        <v>0.84719608581106509</v>
      </c>
      <c r="BI5" s="4">
        <f>'Export-dataset'!BI8/'Export-dataset'!BI7</f>
        <v>0.94134209291412485</v>
      </c>
      <c r="BJ5" s="4">
        <f>'Export-dataset'!BJ8/'Export-dataset'!BJ7</f>
        <v>0.83272537780093803</v>
      </c>
      <c r="BK5" s="4">
        <f>'Export-dataset'!BK8/'Export-dataset'!BK7</f>
        <v>0.74407730673316708</v>
      </c>
      <c r="BL5" s="4">
        <f>'Export-dataset'!BL8/'Export-dataset'!BL7</f>
        <v>0.89863547758284601</v>
      </c>
      <c r="BM5" s="4">
        <f>'Export-dataset'!BM8/'Export-dataset'!BM7</f>
        <v>1.0254777070063694</v>
      </c>
      <c r="BN5" s="4">
        <f>'Export-dataset'!BN8/'Export-dataset'!BN7</f>
        <v>0.74725274725274726</v>
      </c>
      <c r="BO5" s="4">
        <f>'Export-dataset'!BO8/'Export-dataset'!BO7</f>
        <v>1.1914893617021276</v>
      </c>
      <c r="BP5" s="4">
        <f>'Export-dataset'!BP8/'Export-dataset'!BP7</f>
        <v>1.0265251989389921</v>
      </c>
      <c r="BQ5" s="4">
        <f>'Export-dataset'!BQ8/'Export-dataset'!BQ7</f>
        <v>1.0573770491803278</v>
      </c>
      <c r="BR5" s="4">
        <f>'Export-dataset'!BR8/'Export-dataset'!BR7</f>
        <v>0.90271377368151562</v>
      </c>
      <c r="BS5" s="4">
        <f>'Export-dataset'!BS8/'Export-dataset'!BS7</f>
        <v>0.92703862660944203</v>
      </c>
      <c r="BT5" s="4">
        <f>'Export-dataset'!BT8/'Export-dataset'!BT7</f>
        <v>0.85970355049982761</v>
      </c>
      <c r="BU5" s="4">
        <f>'Export-dataset'!BU8/'Export-dataset'!BU7</f>
        <v>1.122207364404292</v>
      </c>
      <c r="BV5" s="4">
        <f>'Export-dataset'!BV8/'Export-dataset'!BV7</f>
        <v>0.85794995964487486</v>
      </c>
      <c r="BW5" s="4">
        <f>'Export-dataset'!BW8/'Export-dataset'!BW7</f>
        <v>1.5133565621370499</v>
      </c>
      <c r="BX5" s="4"/>
      <c r="BY5" s="4">
        <f>'Export-dataset'!BY8/'Export-dataset'!BY7</f>
        <v>1.0907068286838952</v>
      </c>
      <c r="BZ5" s="4">
        <f>'Export-dataset'!BZ8/'Export-dataset'!BZ7</f>
        <v>1.26272166538165</v>
      </c>
      <c r="CA5" s="4">
        <f>'Export-dataset'!CA8/'Export-dataset'!CA7</f>
        <v>0.93011710826937721</v>
      </c>
    </row>
    <row r="6" spans="1:79" x14ac:dyDescent="0.2">
      <c r="A6" s="4" t="s">
        <v>165</v>
      </c>
      <c r="B6" s="4">
        <f>'Export-dataset'!B9/'Export-dataset'!B8</f>
        <v>1.2220725272257775</v>
      </c>
      <c r="C6" s="4">
        <f>'Export-dataset'!C9/'Export-dataset'!C8</f>
        <v>0.84453565931246788</v>
      </c>
      <c r="D6" s="4">
        <f>'Export-dataset'!D9/'Export-dataset'!D8</f>
        <v>1.0065283917035022</v>
      </c>
      <c r="E6" s="4">
        <f>'Export-dataset'!E9/'Export-dataset'!E8</f>
        <v>1.1584119496855345</v>
      </c>
      <c r="F6" s="4">
        <f>'Export-dataset'!F9/'Export-dataset'!F8</f>
        <v>0.98209926769731493</v>
      </c>
      <c r="G6" s="4">
        <f>'Export-dataset'!G9/'Export-dataset'!G8</f>
        <v>2.1902173913043477</v>
      </c>
      <c r="H6" s="4">
        <f>'Export-dataset'!H9/'Export-dataset'!H8</f>
        <v>1.0932881027380663</v>
      </c>
      <c r="I6" s="4">
        <f>'Export-dataset'!I9/'Export-dataset'!I8</f>
        <v>1.1236749116607774</v>
      </c>
      <c r="J6" s="4">
        <f>'Export-dataset'!J9/'Export-dataset'!J8</f>
        <v>1.0648769574944073</v>
      </c>
      <c r="K6" s="4">
        <f>'Export-dataset'!K9/'Export-dataset'!K8</f>
        <v>1.0870229007633587</v>
      </c>
      <c r="L6" s="4">
        <f>'Export-dataset'!L9/'Export-dataset'!L8</f>
        <v>0.81242763411810115</v>
      </c>
      <c r="M6" s="4">
        <f>'Export-dataset'!M9/'Export-dataset'!M8</f>
        <v>0.76850441669204994</v>
      </c>
      <c r="N6" s="4">
        <f>'Export-dataset'!N9/'Export-dataset'!N8</f>
        <v>0.77110289587184222</v>
      </c>
      <c r="O6" s="4">
        <f>'Export-dataset'!O9/'Export-dataset'!O8</f>
        <v>0.56756756756756754</v>
      </c>
      <c r="P6" s="4">
        <f>'Export-dataset'!P9/'Export-dataset'!P8</f>
        <v>1.3040837544746262</v>
      </c>
      <c r="Q6" s="4">
        <f>'Export-dataset'!Q9/'Export-dataset'!Q8</f>
        <v>1.2173913043478262</v>
      </c>
      <c r="R6" s="4">
        <f>'Export-dataset'!R9/'Export-dataset'!R8</f>
        <v>2.676246830092984</v>
      </c>
      <c r="S6" s="4">
        <f>'Export-dataset'!S9/'Export-dataset'!S8</f>
        <v>1.1000000000000001</v>
      </c>
      <c r="T6" s="4">
        <f>'Export-dataset'!T9/'Export-dataset'!T8</f>
        <v>0.80167765128819657</v>
      </c>
      <c r="U6" s="4">
        <f>'Export-dataset'!U9/'Export-dataset'!U8</f>
        <v>1.5465116279069768</v>
      </c>
      <c r="V6" s="4">
        <f>'Export-dataset'!V9/'Export-dataset'!V8</f>
        <v>1.8550565899963489</v>
      </c>
      <c r="W6" s="4">
        <f>'Export-dataset'!W9/'Export-dataset'!W8</f>
        <v>1.6749785038693035</v>
      </c>
      <c r="X6" s="4">
        <f>'Export-dataset'!X9/'Export-dataset'!X8</f>
        <v>1.2859135963572756</v>
      </c>
      <c r="Y6" s="4">
        <f>'Export-dataset'!Y9/'Export-dataset'!Y8</f>
        <v>1.1125226860254083</v>
      </c>
      <c r="Z6" s="4">
        <f>'Export-dataset'!Z9/'Export-dataset'!Z8</f>
        <v>1.4230305896128168</v>
      </c>
      <c r="AA6" s="4">
        <f>'Export-dataset'!AA9/'Export-dataset'!AA8</f>
        <v>1.4643392441257177</v>
      </c>
      <c r="AB6" s="4">
        <f>'Export-dataset'!AB9/'Export-dataset'!AB8</f>
        <v>1.5106382978723405</v>
      </c>
      <c r="AC6" s="4">
        <f>'Export-dataset'!AC9/'Export-dataset'!AC8</f>
        <v>1.3575691662908831</v>
      </c>
      <c r="AD6" s="4">
        <f>'Export-dataset'!AD9/'Export-dataset'!AD8</f>
        <v>1.4257555847568988</v>
      </c>
      <c r="AE6" s="4">
        <f>'Export-dataset'!AE9/'Export-dataset'!AE8</f>
        <v>1.5067567567567568</v>
      </c>
      <c r="AF6" s="4">
        <f>'Export-dataset'!AF9/'Export-dataset'!AF8</f>
        <v>1.2765957446808511</v>
      </c>
      <c r="AG6" s="4">
        <f>'Export-dataset'!AG9/'Export-dataset'!AG8</f>
        <v>1.6363636363636365</v>
      </c>
      <c r="AH6" s="4">
        <f>'Export-dataset'!AH9/'Export-dataset'!AH8</f>
        <v>0.9062387306166606</v>
      </c>
      <c r="AI6" s="4">
        <f>'Export-dataset'!AI9/'Export-dataset'!AI8</f>
        <v>1.052863436123348</v>
      </c>
      <c r="AJ6" s="4">
        <f>'Export-dataset'!AJ9/'Export-dataset'!AJ8</f>
        <v>1.2605304212168487</v>
      </c>
      <c r="AK6" s="4">
        <f>'Export-dataset'!AK9/'Export-dataset'!AK8</f>
        <v>1.1588366890380313</v>
      </c>
      <c r="AL6" s="4">
        <f>'Export-dataset'!AL9/'Export-dataset'!AL8</f>
        <v>0.65440778799350996</v>
      </c>
      <c r="AM6" s="4">
        <f>'Export-dataset'!AM9/'Export-dataset'!AM8</f>
        <v>1.0459119496855347</v>
      </c>
      <c r="AN6" s="4">
        <f>'Export-dataset'!AN9/'Export-dataset'!AN8</f>
        <v>1.4848484848484849</v>
      </c>
      <c r="AO6" s="4">
        <f>'Export-dataset'!AO9/'Export-dataset'!AO8</f>
        <v>1.5862068965517242</v>
      </c>
      <c r="AP6" s="4">
        <f>'Export-dataset'!AP9/'Export-dataset'!AP8</f>
        <v>1.1093247588424437</v>
      </c>
      <c r="AQ6" s="4">
        <f>'Export-dataset'!AQ9/'Export-dataset'!AQ8</f>
        <v>1.1124528301886794</v>
      </c>
      <c r="AR6" s="4">
        <f>'Export-dataset'!AR9/'Export-dataset'!AR8</f>
        <v>1.1356404677726408</v>
      </c>
      <c r="AS6" s="4">
        <f>'Export-dataset'!AS9/'Export-dataset'!AS8</f>
        <v>1.4285714285714286</v>
      </c>
      <c r="AT6" s="4">
        <f>'Export-dataset'!AT9/'Export-dataset'!AT8</f>
        <v>0.9884615384615385</v>
      </c>
      <c r="AU6" s="4">
        <f>'Export-dataset'!AU9/'Export-dataset'!AU8</f>
        <v>0.93203883495145634</v>
      </c>
      <c r="AV6" s="4">
        <f>'Export-dataset'!AV9/'Export-dataset'!AV8</f>
        <v>1.0149892933618843</v>
      </c>
      <c r="AW6" s="4">
        <f>'Export-dataset'!AW9/'Export-dataset'!AW8</f>
        <v>1.2065217391304348</v>
      </c>
      <c r="AX6" s="4">
        <f>'Export-dataset'!AX9/'Export-dataset'!AX8</f>
        <v>0.77445652173913049</v>
      </c>
      <c r="AY6" s="4">
        <f>'Export-dataset'!AY9/'Export-dataset'!AY8</f>
        <v>0.8619565217391304</v>
      </c>
      <c r="AZ6" s="4">
        <f>'Export-dataset'!AZ9/'Export-dataset'!AZ8</f>
        <v>1.2068526676456193</v>
      </c>
      <c r="BA6" s="4">
        <f>'Export-dataset'!BA9/'Export-dataset'!BA8</f>
        <v>1.0571923743500866</v>
      </c>
      <c r="BB6" s="4">
        <f>'Export-dataset'!BB9/'Export-dataset'!BB8</f>
        <v>1.003406458645592</v>
      </c>
      <c r="BC6" s="4">
        <f>'Export-dataset'!BC9/'Export-dataset'!BC8</f>
        <v>0.81647940074906367</v>
      </c>
      <c r="BD6" s="4">
        <f>'Export-dataset'!BD9/'Export-dataset'!BD8</f>
        <v>0.94855850763143024</v>
      </c>
      <c r="BE6" s="4">
        <f>'Export-dataset'!BE9/'Export-dataset'!BE8</f>
        <v>1.2681159420289856</v>
      </c>
      <c r="BF6" s="4">
        <f>'Export-dataset'!BF9/'Export-dataset'!BF8</f>
        <v>1.0304990757855823</v>
      </c>
      <c r="BG6" s="4">
        <f>'Export-dataset'!BG9/'Export-dataset'!BG8</f>
        <v>1.0584615384615386</v>
      </c>
      <c r="BH6" s="4">
        <f>'Export-dataset'!BH9/'Export-dataset'!BH8</f>
        <v>1.0355397601066192</v>
      </c>
      <c r="BI6" s="4">
        <f>'Export-dataset'!BI9/'Export-dataset'!BI8</f>
        <v>1.1101694915254237</v>
      </c>
      <c r="BJ6" s="4">
        <f>'Export-dataset'!BJ9/'Export-dataset'!BJ8</f>
        <v>1.1595744680851063</v>
      </c>
      <c r="BK6" s="4">
        <f>'Export-dataset'!BK9/'Export-dataset'!BK8</f>
        <v>0.83284457478005869</v>
      </c>
      <c r="BL6" s="4">
        <f>'Export-dataset'!BL9/'Export-dataset'!BL8</f>
        <v>1.0894793926247288</v>
      </c>
      <c r="BM6" s="4">
        <f>'Export-dataset'!BM9/'Export-dataset'!BM8</f>
        <v>1.2608695652173914</v>
      </c>
      <c r="BN6" s="4">
        <f>'Export-dataset'!BN9/'Export-dataset'!BN8</f>
        <v>1.0661764705882353</v>
      </c>
      <c r="BO6" s="4">
        <f>'Export-dataset'!BO9/'Export-dataset'!BO8</f>
        <v>1.0357142857142858</v>
      </c>
      <c r="BP6" s="4">
        <f>'Export-dataset'!BP9/'Export-dataset'!BP8</f>
        <v>1.2403100775193798</v>
      </c>
      <c r="BQ6" s="4">
        <f>'Export-dataset'!BQ9/'Export-dataset'!BQ8</f>
        <v>0.92248062015503873</v>
      </c>
      <c r="BR6" s="4">
        <f>'Export-dataset'!BR9/'Export-dataset'!BR8</f>
        <v>1.0989790130459445</v>
      </c>
      <c r="BS6" s="4">
        <f>'Export-dataset'!BS9/'Export-dataset'!BS8</f>
        <v>1.0486111111111112</v>
      </c>
      <c r="BT6" s="4">
        <f>'Export-dataset'!BT9/'Export-dataset'!BT8</f>
        <v>1.0609462710505213</v>
      </c>
      <c r="BU6" s="4">
        <f>'Export-dataset'!BU9/'Export-dataset'!BU8</f>
        <v>1.0733840967216925</v>
      </c>
      <c r="BV6" s="4">
        <f>'Export-dataset'!BV9/'Export-dataset'!BV8</f>
        <v>1.6829727187206021</v>
      </c>
      <c r="BW6" s="4">
        <f>'Export-dataset'!BW9/'Export-dataset'!BW8</f>
        <v>1.9769762087490406</v>
      </c>
      <c r="BX6" s="4">
        <f>'Export-dataset'!BX9/'Export-dataset'!BX8</f>
        <v>1</v>
      </c>
      <c r="BY6" s="4">
        <f>'Export-dataset'!BY9/'Export-dataset'!BY8</f>
        <v>0.91326690726502435</v>
      </c>
      <c r="BZ6" s="4">
        <f>'Export-dataset'!BZ9/'Export-dataset'!BZ8</f>
        <v>1.417035567088994</v>
      </c>
      <c r="CA6" s="4">
        <f>'Export-dataset'!CA9/'Export-dataset'!CA8</f>
        <v>1.2631172669327981</v>
      </c>
    </row>
    <row r="7" spans="1:79" x14ac:dyDescent="0.2">
      <c r="A7" s="4" t="s">
        <v>166</v>
      </c>
      <c r="B7" s="4">
        <f>'Export-dataset'!B10/'Export-dataset'!B9</f>
        <v>1.2200734956361965</v>
      </c>
      <c r="C7" s="4">
        <f>'Export-dataset'!C10/'Export-dataset'!C9</f>
        <v>0.92223572296476308</v>
      </c>
      <c r="D7" s="4">
        <f>'Export-dataset'!D10/'Export-dataset'!D9</f>
        <v>1.1215458414971962</v>
      </c>
      <c r="E7" s="4">
        <f>'Export-dataset'!E10/'Export-dataset'!E9</f>
        <v>1.1486257210722768</v>
      </c>
      <c r="F7" s="4">
        <f>'Export-dataset'!F10/'Export-dataset'!F9</f>
        <v>0.9983429991714996</v>
      </c>
      <c r="G7" s="4">
        <f>'Export-dataset'!G10/'Export-dataset'!G9</f>
        <v>1.4655795817086139</v>
      </c>
      <c r="H7" s="4">
        <f>'Export-dataset'!H10/'Export-dataset'!H9</f>
        <v>1.1141400709219857</v>
      </c>
      <c r="I7" s="4">
        <f>'Export-dataset'!I10/'Export-dataset'!I9</f>
        <v>1.0094339622641511</v>
      </c>
      <c r="J7" s="4">
        <f>'Export-dataset'!J10/'Export-dataset'!J9</f>
        <v>1.0861344537815125</v>
      </c>
      <c r="K7" s="4">
        <f>'Export-dataset'!K10/'Export-dataset'!K9</f>
        <v>1.2071629213483146</v>
      </c>
      <c r="L7" s="4">
        <f>'Export-dataset'!L10/'Export-dataset'!L9</f>
        <v>1.0261282660332542</v>
      </c>
      <c r="M7" s="4">
        <f>'Export-dataset'!M10/'Export-dataset'!M9</f>
        <v>1.0194213238208483</v>
      </c>
      <c r="N7" s="4">
        <f>'Export-dataset'!N10/'Export-dataset'!N9</f>
        <v>1.0199760287654813</v>
      </c>
      <c r="O7" s="4">
        <f>'Export-dataset'!O10/'Export-dataset'!O9</f>
        <v>0.90476190476190477</v>
      </c>
      <c r="P7" s="4">
        <f>'Export-dataset'!P10/'Export-dataset'!P9</f>
        <v>0.95013094222899497</v>
      </c>
      <c r="Q7" s="4">
        <f>'Export-dataset'!Q10/'Export-dataset'!Q9</f>
        <v>0.90079365079365081</v>
      </c>
      <c r="R7" s="4">
        <f>'Export-dataset'!R10/'Export-dataset'!R9</f>
        <v>2.4516740366392926</v>
      </c>
      <c r="S7" s="4">
        <f>'Export-dataset'!S10/'Export-dataset'!S9</f>
        <v>0.81818181818181823</v>
      </c>
      <c r="T7" s="4">
        <f>'Export-dataset'!T10/'Export-dataset'!T9</f>
        <v>1.1382660687593422</v>
      </c>
      <c r="U7" s="4">
        <f>'Export-dataset'!U10/'Export-dataset'!U9</f>
        <v>1.1541353383458646</v>
      </c>
      <c r="V7" s="4">
        <f>'Export-dataset'!V10/'Export-dataset'!V9</f>
        <v>1.5174178311356032</v>
      </c>
      <c r="W7" s="4">
        <f>'Export-dataset'!W10/'Export-dataset'!W9</f>
        <v>6.3572895277207389</v>
      </c>
      <c r="X7" s="4">
        <f>'Export-dataset'!X10/'Export-dataset'!X9</f>
        <v>0.84989663120280257</v>
      </c>
      <c r="Y7" s="4">
        <f>'Export-dataset'!Y10/'Export-dataset'!Y9</f>
        <v>1.128874388254486</v>
      </c>
      <c r="Z7" s="4">
        <f>'Export-dataset'!Z10/'Export-dataset'!Z9</f>
        <v>1.988480556984058</v>
      </c>
      <c r="AA7" s="4">
        <f>'Export-dataset'!AA10/'Export-dataset'!AA9</f>
        <v>2.2415123456790123</v>
      </c>
      <c r="AB7" s="4">
        <f>'Export-dataset'!AB10/'Export-dataset'!AB9</f>
        <v>1.4802390098164746</v>
      </c>
      <c r="AC7" s="4">
        <f>'Export-dataset'!AC10/'Export-dataset'!AC9</f>
        <v>1.7907344809394479</v>
      </c>
      <c r="AD7" s="4">
        <f>'Export-dataset'!AD10/'Export-dataset'!AD9</f>
        <v>1.5502304147465438</v>
      </c>
      <c r="AE7" s="4">
        <f>'Export-dataset'!AE10/'Export-dataset'!AE9</f>
        <v>1.6143497757847534</v>
      </c>
      <c r="AF7" s="4">
        <f>'Export-dataset'!AF10/'Export-dataset'!AF9</f>
        <v>1.4944444444444445</v>
      </c>
      <c r="AG7" s="4">
        <f>'Export-dataset'!AG10/'Export-dataset'!AG9</f>
        <v>1.1851851851851851</v>
      </c>
      <c r="AH7" s="4">
        <f>'Export-dataset'!AH10/'Export-dataset'!AH9</f>
        <v>1.2509948269001194</v>
      </c>
      <c r="AI7" s="4">
        <f>'Export-dataset'!AI10/'Export-dataset'!AI9</f>
        <v>1.0251046025104602</v>
      </c>
      <c r="AJ7" s="4">
        <f>'Export-dataset'!AJ10/'Export-dataset'!AJ9</f>
        <v>2.0730198019801982</v>
      </c>
      <c r="AK7" s="4">
        <f>'Export-dataset'!AK10/'Export-dataset'!AK9</f>
        <v>1.0308880308880308</v>
      </c>
      <c r="AL7" s="4">
        <f>'Export-dataset'!AL10/'Export-dataset'!AL9</f>
        <v>1.1922865013774104</v>
      </c>
      <c r="AM7" s="4">
        <f>'Export-dataset'!AM10/'Export-dataset'!AM9</f>
        <v>1.0631389055923031</v>
      </c>
      <c r="AN7" s="4">
        <f>'Export-dataset'!AN10/'Export-dataset'!AN9</f>
        <v>1.4918367346938775</v>
      </c>
      <c r="AO7" s="4">
        <f>'Export-dataset'!AO10/'Export-dataset'!AO9</f>
        <v>0.82336956521739135</v>
      </c>
      <c r="AP7" s="4">
        <f>'Export-dataset'!AP10/'Export-dataset'!AP9</f>
        <v>1.3072463768115943</v>
      </c>
      <c r="AQ7" s="4">
        <f>'Export-dataset'!AQ10/'Export-dataset'!AQ9</f>
        <v>1.3616010854816825</v>
      </c>
      <c r="AR7" s="4">
        <f>'Export-dataset'!AR10/'Export-dataset'!AR9</f>
        <v>1.163323953780758</v>
      </c>
      <c r="AS7" s="4">
        <f>'Export-dataset'!AS10/'Export-dataset'!AS9</f>
        <v>0.92500000000000004</v>
      </c>
      <c r="AT7" s="4">
        <f>'Export-dataset'!AT10/'Export-dataset'!AT9</f>
        <v>1.4124513618677044</v>
      </c>
      <c r="AU7" s="4">
        <f>'Export-dataset'!AU10/'Export-dataset'!AU9</f>
        <v>1</v>
      </c>
      <c r="AV7" s="4">
        <f>'Export-dataset'!AV10/'Export-dataset'!AV9</f>
        <v>1.0696202531645569</v>
      </c>
      <c r="AW7" s="4">
        <f>'Export-dataset'!AW10/'Export-dataset'!AW9</f>
        <v>1.0690690690690692</v>
      </c>
      <c r="AX7" s="4">
        <f>'Export-dataset'!AX10/'Export-dataset'!AX9</f>
        <v>1.0596491228070175</v>
      </c>
      <c r="AY7" s="4">
        <f>'Export-dataset'!AY10/'Export-dataset'!AY9</f>
        <v>1.6897856242118536</v>
      </c>
      <c r="AZ7" s="4">
        <f>'Export-dataset'!AZ10/'Export-dataset'!AZ9</f>
        <v>1.1419532770927969</v>
      </c>
      <c r="BA7" s="4">
        <f>'Export-dataset'!BA10/'Export-dataset'!BA9</f>
        <v>1.1721311475409837</v>
      </c>
      <c r="BB7" s="4">
        <f>'Export-dataset'!BB10/'Export-dataset'!BB9</f>
        <v>1.121401412275937</v>
      </c>
      <c r="BC7" s="4">
        <f>'Export-dataset'!BC10/'Export-dataset'!BC9</f>
        <v>1.1777522935779816</v>
      </c>
      <c r="BD7" s="4">
        <f>'Export-dataset'!BD10/'Export-dataset'!BD9</f>
        <v>1.1388557806912991</v>
      </c>
      <c r="BE7" s="4">
        <f>'Export-dataset'!BE10/'Export-dataset'!BE9</f>
        <v>1.4857142857142858</v>
      </c>
      <c r="BF7" s="4">
        <f>'Export-dataset'!BF10/'Export-dataset'!BF9</f>
        <v>1.1161434977578475</v>
      </c>
      <c r="BG7" s="4">
        <f>'Export-dataset'!BG10/'Export-dataset'!BG9</f>
        <v>1.1228197674418605</v>
      </c>
      <c r="BH7" s="4">
        <f>'Export-dataset'!BH10/'Export-dataset'!BH9</f>
        <v>1.0025740025740026</v>
      </c>
      <c r="BI7" s="4">
        <f>'Export-dataset'!BI10/'Export-dataset'!BI9</f>
        <v>1.2088010776829816</v>
      </c>
      <c r="BJ7" s="4">
        <f>'Export-dataset'!BJ10/'Export-dataset'!BJ9</f>
        <v>1.0863464651915813</v>
      </c>
      <c r="BK7" s="4">
        <f>'Export-dataset'!BK10/'Export-dataset'!BK9</f>
        <v>1.1292756539235413</v>
      </c>
      <c r="BL7" s="4">
        <f>'Export-dataset'!BL10/'Export-dataset'!BL9</f>
        <v>1.1295420607267297</v>
      </c>
      <c r="BM7" s="4">
        <f>'Export-dataset'!BM10/'Export-dataset'!BM9</f>
        <v>0.86206896551724133</v>
      </c>
      <c r="BN7" s="4">
        <f>'Export-dataset'!BN10/'Export-dataset'!BN9</f>
        <v>1.1448275862068966</v>
      </c>
      <c r="BO7" s="4">
        <f>'Export-dataset'!BO10/'Export-dataset'!BO9</f>
        <v>1.7327586206896552</v>
      </c>
      <c r="BP7" s="4">
        <f>'Export-dataset'!BP10/'Export-dataset'!BP9</f>
        <v>1.3520833333333333</v>
      </c>
      <c r="BQ7" s="4">
        <f>'Export-dataset'!BQ10/'Export-dataset'!BQ9</f>
        <v>1.1848739495798319</v>
      </c>
      <c r="BR7" s="4">
        <f>'Export-dataset'!BR10/'Export-dataset'!BR9</f>
        <v>1.1378064516129032</v>
      </c>
      <c r="BS7" s="4">
        <f>'Export-dataset'!BS10/'Export-dataset'!BS9</f>
        <v>1.1169977924944812</v>
      </c>
      <c r="BT7" s="4">
        <f>'Export-dataset'!BT10/'Export-dataset'!BT9</f>
        <v>1.0710506424792139</v>
      </c>
      <c r="BU7" s="4">
        <f>'Export-dataset'!BU10/'Export-dataset'!BU9</f>
        <v>1.0628706035253026</v>
      </c>
      <c r="BV7" s="4">
        <f>'Export-dataset'!BV10/'Export-dataset'!BV9</f>
        <v>0.42705422023476802</v>
      </c>
      <c r="BW7" s="4">
        <f>'Export-dataset'!BW10/'Export-dataset'!BW9</f>
        <v>1.1824534161490683</v>
      </c>
      <c r="BX7" s="4">
        <f>'Export-dataset'!BX10/'Export-dataset'!BX9</f>
        <v>4.5</v>
      </c>
      <c r="BY7" s="4">
        <f>'Export-dataset'!BY10/'Export-dataset'!BY9</f>
        <v>1.0100081611614622</v>
      </c>
      <c r="BZ7" s="4">
        <f>'Export-dataset'!BZ10/'Export-dataset'!BZ9</f>
        <v>1.2841753743401918</v>
      </c>
      <c r="CA7" s="4">
        <f>'Export-dataset'!CA10/'Export-dataset'!CA9</f>
        <v>1.2961730195037628</v>
      </c>
    </row>
    <row r="8" spans="1:79" x14ac:dyDescent="0.2">
      <c r="A8" s="4" t="s">
        <v>167</v>
      </c>
      <c r="B8" s="4">
        <f>'Export-dataset'!B11/'Export-dataset'!B10</f>
        <v>1.0306276119122022</v>
      </c>
      <c r="C8" s="4">
        <f>'Export-dataset'!C11/'Export-dataset'!C10</f>
        <v>0.81422924901185767</v>
      </c>
      <c r="D8" s="4">
        <f>'Export-dataset'!D11/'Export-dataset'!D10</f>
        <v>1.0721686746987953</v>
      </c>
      <c r="E8" s="4">
        <f>'Export-dataset'!E11/'Export-dataset'!E10</f>
        <v>0.88626292466765144</v>
      </c>
      <c r="F8" s="4">
        <f>'Export-dataset'!F11/'Export-dataset'!F10</f>
        <v>1.1170124481327801</v>
      </c>
      <c r="G8" s="4">
        <f>'Export-dataset'!G11/'Export-dataset'!G10</f>
        <v>0.99787151702786381</v>
      </c>
      <c r="H8" s="4">
        <f>'Export-dataset'!H11/'Export-dataset'!H10</f>
        <v>1.1718718917843645</v>
      </c>
      <c r="I8" s="4">
        <f>'Export-dataset'!I11/'Export-dataset'!I10</f>
        <v>0.92523364485981308</v>
      </c>
      <c r="J8" s="4">
        <f>'Export-dataset'!J11/'Export-dataset'!J10</f>
        <v>0.98452611218568664</v>
      </c>
      <c r="K8" s="4">
        <f>'Export-dataset'!K11/'Export-dataset'!K10</f>
        <v>1.0104712041884816</v>
      </c>
      <c r="L8" s="4">
        <f>'Export-dataset'!L11/'Export-dataset'!L10</f>
        <v>1.0712962962962962</v>
      </c>
      <c r="M8" s="4">
        <f>'Export-dataset'!M11/'Export-dataset'!M10</f>
        <v>0.99066874027993779</v>
      </c>
      <c r="N8" s="4">
        <f>'Export-dataset'!N11/'Export-dataset'!N10</f>
        <v>0.98864081472777121</v>
      </c>
      <c r="O8" s="4">
        <f>'Export-dataset'!O11/'Export-dataset'!O10</f>
        <v>1.263157894736842</v>
      </c>
      <c r="P8" s="4">
        <f>'Export-dataset'!P11/'Export-dataset'!P10</f>
        <v>1.0778826953307559</v>
      </c>
      <c r="Q8" s="4">
        <f>'Export-dataset'!Q11/'Export-dataset'!Q10</f>
        <v>0.99339207048458145</v>
      </c>
      <c r="R8" s="4">
        <f>'Export-dataset'!R11/'Export-dataset'!R10</f>
        <v>0.70961092501932488</v>
      </c>
      <c r="S8" s="4">
        <f>'Export-dataset'!S11/'Export-dataset'!S10</f>
        <v>1.5555555555555556</v>
      </c>
      <c r="T8" s="4">
        <f>'Export-dataset'!T11/'Export-dataset'!T10</f>
        <v>0.94221930400525278</v>
      </c>
      <c r="U8" s="4">
        <f>'Export-dataset'!U11/'Export-dataset'!U10</f>
        <v>0.66123778501628661</v>
      </c>
      <c r="V8" s="4">
        <f>'Export-dataset'!V11/'Export-dataset'!V10</f>
        <v>0.96070038910505839</v>
      </c>
      <c r="W8" s="4">
        <f>'Export-dataset'!W11/'Export-dataset'!W10</f>
        <v>1.5386789405684755</v>
      </c>
      <c r="X8" s="4">
        <f>'Export-dataset'!X11/'Export-dataset'!X10</f>
        <v>1.0685419590856837</v>
      </c>
      <c r="Y8" s="4">
        <f>'Export-dataset'!Y11/'Export-dataset'!Y10</f>
        <v>0.93930635838150289</v>
      </c>
      <c r="Z8" s="4">
        <f>'Export-dataset'!Z11/'Export-dataset'!Z10</f>
        <v>0.77804435532001237</v>
      </c>
      <c r="AA8" s="4">
        <f>'Export-dataset'!AA11/'Export-dataset'!AA10</f>
        <v>0.72591942112473218</v>
      </c>
      <c r="AB8" s="4">
        <f>'Export-dataset'!AB11/'Export-dataset'!AB10</f>
        <v>0.90882878726717031</v>
      </c>
      <c r="AC8" s="4">
        <f>'Export-dataset'!AC11/'Export-dataset'!AC10</f>
        <v>0.83423533519553073</v>
      </c>
      <c r="AD8" s="4">
        <f>'Export-dataset'!AD11/'Export-dataset'!AD10</f>
        <v>0.9565992865636147</v>
      </c>
      <c r="AE8" s="4">
        <f>'Export-dataset'!AE11/'Export-dataset'!AE10</f>
        <v>0.97499999999999998</v>
      </c>
      <c r="AF8" s="4">
        <f>'Export-dataset'!AF11/'Export-dataset'!AF10</f>
        <v>0.7806691449814126</v>
      </c>
      <c r="AG8" s="4">
        <f>'Export-dataset'!AG11/'Export-dataset'!AG10</f>
        <v>2.125</v>
      </c>
      <c r="AH8" s="4">
        <f>'Export-dataset'!AH11/'Export-dataset'!AH10</f>
        <v>0.91324055666003978</v>
      </c>
      <c r="AI8" s="4">
        <f>'Export-dataset'!AI11/'Export-dataset'!AI10</f>
        <v>0.90204081632653066</v>
      </c>
      <c r="AJ8" s="4">
        <f>'Export-dataset'!AJ11/'Export-dataset'!AJ10</f>
        <v>0.75462686567164183</v>
      </c>
      <c r="AK8" s="4">
        <f>'Export-dataset'!AK11/'Export-dataset'!AK10</f>
        <v>0.86142322097378277</v>
      </c>
      <c r="AL8" s="4">
        <f>'Export-dataset'!AL11/'Export-dataset'!AL10</f>
        <v>1.0984288354898337</v>
      </c>
      <c r="AM8" s="4">
        <f>'Export-dataset'!AM11/'Export-dataset'!AM10</f>
        <v>0.9536199095022625</v>
      </c>
      <c r="AN8" s="4">
        <f>'Export-dataset'!AN11/'Export-dataset'!AN10</f>
        <v>0.46238030095759236</v>
      </c>
      <c r="AO8" s="4">
        <f>'Export-dataset'!AO11/'Export-dataset'!AO10</f>
        <v>0.91419141914191415</v>
      </c>
      <c r="AP8" s="4">
        <f>'Export-dataset'!AP11/'Export-dataset'!AP10</f>
        <v>0.85365853658536583</v>
      </c>
      <c r="AQ8" s="4">
        <f>'Export-dataset'!AQ11/'Export-dataset'!AQ10</f>
        <v>0.81863477827603393</v>
      </c>
      <c r="AR8" s="4">
        <f>'Export-dataset'!AR11/'Export-dataset'!AR10</f>
        <v>0.99619165251402397</v>
      </c>
      <c r="AS8" s="4">
        <f>'Export-dataset'!AS11/'Export-dataset'!AS10</f>
        <v>0.73648648648648651</v>
      </c>
      <c r="AT8" s="4">
        <f>'Export-dataset'!AT11/'Export-dataset'!AT10</f>
        <v>1.0936639118457301</v>
      </c>
      <c r="AU8" s="4">
        <f>'Export-dataset'!AU11/'Export-dataset'!AU10</f>
        <v>1.0208333333333333</v>
      </c>
      <c r="AV8" s="4">
        <f>'Export-dataset'!AV11/'Export-dataset'!AV10</f>
        <v>0.87573964497041423</v>
      </c>
      <c r="AW8" s="4">
        <f>'Export-dataset'!AW11/'Export-dataset'!AW10</f>
        <v>1.0224719101123596</v>
      </c>
      <c r="AX8" s="4">
        <f>'Export-dataset'!AX11/'Export-dataset'!AX10</f>
        <v>1.4139072847682119</v>
      </c>
      <c r="AY8" s="4">
        <f>'Export-dataset'!AY11/'Export-dataset'!AY10</f>
        <v>0.93731343283582091</v>
      </c>
      <c r="AZ8" s="4">
        <f>'Export-dataset'!AZ11/'Export-dataset'!AZ10</f>
        <v>0.9909077994033243</v>
      </c>
      <c r="BA8" s="4">
        <f>'Export-dataset'!BA11/'Export-dataset'!BA10</f>
        <v>1.0083916083916085</v>
      </c>
      <c r="BB8" s="4">
        <f>'Export-dataset'!BB11/'Export-dataset'!BB10</f>
        <v>1.1264228626786146</v>
      </c>
      <c r="BC8" s="4">
        <f>'Export-dataset'!BC11/'Export-dataset'!BC10</f>
        <v>1.2687439143135346</v>
      </c>
      <c r="BD8" s="4">
        <f>'Export-dataset'!BD11/'Export-dataset'!BD10</f>
        <v>1.1057038199895344</v>
      </c>
      <c r="BE8" s="4">
        <f>'Export-dataset'!BE11/'Export-dataset'!BE10</f>
        <v>1.0461538461538462</v>
      </c>
      <c r="BF8" s="4">
        <f>'Export-dataset'!BF11/'Export-dataset'!BF10</f>
        <v>1.2229811169144236</v>
      </c>
      <c r="BG8" s="4">
        <f>'Export-dataset'!BG11/'Export-dataset'!BG10</f>
        <v>0.96375404530744335</v>
      </c>
      <c r="BH8" s="4">
        <f>'Export-dataset'!BH11/'Export-dataset'!BH10</f>
        <v>1.1454856653829697</v>
      </c>
      <c r="BI8" s="4">
        <f>'Export-dataset'!BI11/'Export-dataset'!BI10</f>
        <v>1.0973254086181279</v>
      </c>
      <c r="BJ8" s="4">
        <f>'Export-dataset'!BJ11/'Export-dataset'!BJ10</f>
        <v>1.0829607550919027</v>
      </c>
      <c r="BK8" s="4">
        <f>'Export-dataset'!BK11/'Export-dataset'!BK10</f>
        <v>1.1465478841870824</v>
      </c>
      <c r="BL8" s="4">
        <f>'Export-dataset'!BL11/'Export-dataset'!BL10</f>
        <v>1.1586427233667511</v>
      </c>
      <c r="BM8" s="4">
        <f>'Export-dataset'!BM11/'Export-dataset'!BM10</f>
        <v>0.97142857142857142</v>
      </c>
      <c r="BN8" s="4">
        <f>'Export-dataset'!BN11/'Export-dataset'!BN10</f>
        <v>1.1325301204819278</v>
      </c>
      <c r="BO8" s="4">
        <f>'Export-dataset'!BO11/'Export-dataset'!BO10</f>
        <v>0.93532338308457708</v>
      </c>
      <c r="BP8" s="4">
        <f>'Export-dataset'!BP11/'Export-dataset'!BP10</f>
        <v>1.0878274268104777</v>
      </c>
      <c r="BQ8" s="4">
        <f>'Export-dataset'!BQ11/'Export-dataset'!BQ10</f>
        <v>1.2836879432624113</v>
      </c>
      <c r="BR8" s="4">
        <f>'Export-dataset'!BR11/'Export-dataset'!BR10</f>
        <v>1.1047856656838286</v>
      </c>
      <c r="BS8" s="4">
        <f>'Export-dataset'!BS11/'Export-dataset'!BS10</f>
        <v>1.1383399209486167</v>
      </c>
      <c r="BT8" s="4">
        <f>'Export-dataset'!BT11/'Export-dataset'!BT10</f>
        <v>1.2829922371206774</v>
      </c>
      <c r="BU8" s="4">
        <f>'Export-dataset'!BU11/'Export-dataset'!BU10</f>
        <v>1.0507451280091709</v>
      </c>
      <c r="BV8" s="4">
        <f>'Export-dataset'!BV11/'Export-dataset'!BV10</f>
        <v>0.80104712041884818</v>
      </c>
      <c r="BW8" s="4">
        <f>'Export-dataset'!BW11/'Export-dataset'!BW10</f>
        <v>0.6602101116217991</v>
      </c>
      <c r="BX8" s="4">
        <f>'Export-dataset'!BX11/'Export-dataset'!BX10</f>
        <v>1.2222222222222223</v>
      </c>
      <c r="BY8" s="4">
        <f>'Export-dataset'!BY11/'Export-dataset'!BY10</f>
        <v>1.2057497660967933</v>
      </c>
      <c r="BZ8" s="4">
        <f>'Export-dataset'!BZ11/'Export-dataset'!BZ10</f>
        <v>0.86041439476553983</v>
      </c>
      <c r="CA8" s="4">
        <f>'Export-dataset'!CA11/'Export-dataset'!CA10</f>
        <v>0.94065654652151587</v>
      </c>
    </row>
    <row r="9" spans="1:79" x14ac:dyDescent="0.2">
      <c r="A9" s="4" t="s">
        <v>247</v>
      </c>
      <c r="B9" s="4">
        <f>'Export-dataset'!B12/'Export-dataset'!B11</f>
        <v>0.96005406491442769</v>
      </c>
      <c r="C9" s="4">
        <f>'Export-dataset'!C12/'Export-dataset'!C11</f>
        <v>0.90372168284789645</v>
      </c>
      <c r="D9" s="4">
        <f>'Export-dataset'!D12/'Export-dataset'!D11</f>
        <v>1.1977188448140241</v>
      </c>
      <c r="E9" s="4">
        <f>'Export-dataset'!E12/'Export-dataset'!E11</f>
        <v>1.1416666666666666</v>
      </c>
      <c r="F9" s="4">
        <f>'Export-dataset'!F12/'Export-dataset'!F11</f>
        <v>0.90564635958395245</v>
      </c>
      <c r="G9" s="4">
        <f>'Export-dataset'!G12/'Export-dataset'!G11</f>
        <v>0.66642427768082213</v>
      </c>
      <c r="H9" s="4">
        <f>'Export-dataset'!H12/'Export-dataset'!H11</f>
        <v>1.1996265489730096</v>
      </c>
      <c r="I9" s="4">
        <f>'Export-dataset'!I12/'Export-dataset'!I11</f>
        <v>1.0033670033670035</v>
      </c>
      <c r="J9" s="4">
        <f>'Export-dataset'!J12/'Export-dataset'!J11</f>
        <v>1.0785854616895874</v>
      </c>
      <c r="K9" s="4">
        <f>'Export-dataset'!K12/'Export-dataset'!K11</f>
        <v>0.90558434081750139</v>
      </c>
      <c r="L9" s="4">
        <f>'Export-dataset'!L12/'Export-dataset'!L11</f>
        <v>0.97363872082973202</v>
      </c>
      <c r="M9" s="4">
        <f>'Export-dataset'!M12/'Export-dataset'!M11</f>
        <v>1.2476452119309263</v>
      </c>
      <c r="N9" s="4">
        <f>'Export-dataset'!N12/'Export-dataset'!N11</f>
        <v>1.2515847860538827</v>
      </c>
      <c r="O9" s="4">
        <f>'Export-dataset'!O12/'Export-dataset'!O11</f>
        <v>0.83333333333333337</v>
      </c>
      <c r="P9" s="4">
        <f>'Export-dataset'!P12/'Export-dataset'!P11</f>
        <v>0.88483994461990234</v>
      </c>
      <c r="Q9" s="4">
        <f>'Export-dataset'!Q12/'Export-dataset'!Q11</f>
        <v>1.1796008869179602</v>
      </c>
      <c r="R9" s="4">
        <f>'Export-dataset'!R12/'Export-dataset'!R11</f>
        <v>0.90867828612926649</v>
      </c>
      <c r="S9" s="4">
        <f>'Export-dataset'!S12/'Export-dataset'!S11</f>
        <v>1.4285714285714286</v>
      </c>
      <c r="T9" s="4">
        <f>'Export-dataset'!T12/'Export-dataset'!T11</f>
        <v>0.9923344947735192</v>
      </c>
      <c r="U9" s="4">
        <f>'Export-dataset'!U12/'Export-dataset'!U11</f>
        <v>1.1921182266009853</v>
      </c>
      <c r="V9" s="4">
        <f>'Export-dataset'!V12/'Export-dataset'!V11</f>
        <v>0.87727825030376672</v>
      </c>
      <c r="W9" s="4">
        <f>'Export-dataset'!W12/'Export-dataset'!W11</f>
        <v>0.26958803463657832</v>
      </c>
      <c r="X9" s="4">
        <f>'Export-dataset'!X12/'Export-dataset'!X11</f>
        <v>0.95159976938119273</v>
      </c>
      <c r="Y9" s="4">
        <f>'Export-dataset'!Y12/'Export-dataset'!Y11</f>
        <v>0.97692307692307689</v>
      </c>
      <c r="Z9" s="4">
        <f>'Export-dataset'!Z12/'Export-dataset'!Z11</f>
        <v>0.87365315087267126</v>
      </c>
      <c r="AA9" s="4">
        <f>'Export-dataset'!AA12/'Export-dataset'!AA11</f>
        <v>0.8269057688399416</v>
      </c>
      <c r="AB9" s="4">
        <f>'Export-dataset'!AB12/'Export-dataset'!AB11</f>
        <v>0.99701776649746188</v>
      </c>
      <c r="AC9" s="4">
        <f>'Export-dataset'!AC12/'Export-dataset'!AC11</f>
        <v>0.91140002092706918</v>
      </c>
      <c r="AD9" s="4">
        <f>'Export-dataset'!AD12/'Export-dataset'!AD11</f>
        <v>0.8682411435674332</v>
      </c>
      <c r="AE9" s="4">
        <f>'Export-dataset'!AE12/'Export-dataset'!AE11</f>
        <v>0.82146248812915479</v>
      </c>
      <c r="AF9" s="4">
        <f>'Export-dataset'!AF12/'Export-dataset'!AF11</f>
        <v>0.99047619047619051</v>
      </c>
      <c r="AG9" s="4">
        <f>'Export-dataset'!AG12/'Export-dataset'!AG11</f>
        <v>0.86764705882352944</v>
      </c>
      <c r="AH9" s="4">
        <f>'Export-dataset'!AH12/'Export-dataset'!AH11</f>
        <v>1.0686172065482411</v>
      </c>
      <c r="AI9" s="4">
        <f>'Export-dataset'!AI12/'Export-dataset'!AI11</f>
        <v>0.97285067873303166</v>
      </c>
      <c r="AJ9" s="4">
        <f>'Export-dataset'!AJ12/'Export-dataset'!AJ11</f>
        <v>0.74841772151898733</v>
      </c>
      <c r="AK9" s="4">
        <f>'Export-dataset'!AK12/'Export-dataset'!AK11</f>
        <v>1.2630434782608695</v>
      </c>
      <c r="AL9" s="4">
        <f>'Export-dataset'!AL12/'Export-dataset'!AL11</f>
        <v>1.1331510307109802</v>
      </c>
      <c r="AM9" s="4">
        <f>'Export-dataset'!AM12/'Export-dataset'!AM11</f>
        <v>1.0112692763938316</v>
      </c>
      <c r="AN9" s="4">
        <f>'Export-dataset'!AN12/'Export-dataset'!AN11</f>
        <v>1.2928994082840237</v>
      </c>
      <c r="AO9" s="4">
        <f>'Export-dataset'!AO12/'Export-dataset'!AO11</f>
        <v>1.0613718411552346</v>
      </c>
      <c r="AP9" s="4">
        <f>'Export-dataset'!AP12/'Export-dataset'!AP11</f>
        <v>1.07012987012987</v>
      </c>
      <c r="AQ9" s="4">
        <f>'Export-dataset'!AQ12/'Export-dataset'!AQ11</f>
        <v>1.0456482045039561</v>
      </c>
      <c r="AR9" s="4">
        <f>'Export-dataset'!AR12/'Export-dataset'!AR11</f>
        <v>1.059823319729297</v>
      </c>
      <c r="AS9" s="4">
        <f>'Export-dataset'!AS12/'Export-dataset'!AS11</f>
        <v>1.0275229357798166</v>
      </c>
      <c r="AT9" s="4">
        <f>'Export-dataset'!AT12/'Export-dataset'!AT11</f>
        <v>0.83375314861460958</v>
      </c>
      <c r="AU9" s="4">
        <f>'Export-dataset'!AU12/'Export-dataset'!AU11</f>
        <v>0.98979591836734693</v>
      </c>
      <c r="AV9" s="4">
        <f>'Export-dataset'!AV12/'Export-dataset'!AV11</f>
        <v>1.0033783783783783</v>
      </c>
      <c r="AW9" s="4">
        <f>'Export-dataset'!AW12/'Export-dataset'!AW11</f>
        <v>1.0769230769230769</v>
      </c>
      <c r="AX9" s="4">
        <f>'Export-dataset'!AX12/'Export-dataset'!AX11</f>
        <v>0.69086651053864168</v>
      </c>
      <c r="AY9" s="4">
        <f>'Export-dataset'!AY12/'Export-dataset'!AY11</f>
        <v>1.0605095541401275</v>
      </c>
      <c r="AZ9" s="4">
        <f>'Export-dataset'!AZ12/'Export-dataset'!AZ11</f>
        <v>1.0963440860215055</v>
      </c>
      <c r="BA9" s="4">
        <f>'Export-dataset'!BA12/'Export-dataset'!BA11</f>
        <v>1.0235783633841886</v>
      </c>
      <c r="BB9" s="4">
        <f>'Export-dataset'!BB12/'Export-dataset'!BB11</f>
        <v>1.1010535368737906</v>
      </c>
      <c r="BC9" s="4">
        <f>'Export-dataset'!BC12/'Export-dataset'!BC11</f>
        <v>1.0567920184190329</v>
      </c>
      <c r="BD9" s="4">
        <f>'Export-dataset'!BD12/'Export-dataset'!BD11</f>
        <v>1.1102697586370089</v>
      </c>
      <c r="BE9" s="4">
        <f>'Export-dataset'!BE12/'Export-dataset'!BE11</f>
        <v>1.0514705882352942</v>
      </c>
      <c r="BF9" s="4">
        <f>'Export-dataset'!BF12/'Export-dataset'!BF11</f>
        <v>1.0266097240473062</v>
      </c>
      <c r="BG9" s="4">
        <f>'Export-dataset'!BG12/'Export-dataset'!BG11</f>
        <v>1.0611148421759571</v>
      </c>
      <c r="BH9" s="4">
        <f>'Export-dataset'!BH12/'Export-dataset'!BH11</f>
        <v>1.0918939110945087</v>
      </c>
      <c r="BI9" s="4">
        <f>'Export-dataset'!BI12/'Export-dataset'!BI11</f>
        <v>1.0897088693297223</v>
      </c>
      <c r="BJ9" s="4">
        <f>'Export-dataset'!BJ12/'Export-dataset'!BJ11</f>
        <v>1.0362385321100918</v>
      </c>
      <c r="BK9" s="4">
        <f>'Export-dataset'!BK12/'Export-dataset'!BK11</f>
        <v>1.311965811965812</v>
      </c>
      <c r="BL9" s="4">
        <f>'Export-dataset'!BL12/'Export-dataset'!BL11</f>
        <v>1.0434534563088333</v>
      </c>
      <c r="BM9" s="4">
        <f>'Export-dataset'!BM12/'Export-dataset'!BM11</f>
        <v>1.1235294117647059</v>
      </c>
      <c r="BN9" s="4">
        <f>'Export-dataset'!BN12/'Export-dataset'!BN11</f>
        <v>0.89893617021276595</v>
      </c>
      <c r="BO9" s="4">
        <f>'Export-dataset'!BO12/'Export-dataset'!BO11</f>
        <v>0.94680851063829785</v>
      </c>
      <c r="BP9" s="4">
        <f>'Export-dataset'!BP12/'Export-dataset'!BP11</f>
        <v>1.094900849858357</v>
      </c>
      <c r="BQ9" s="4">
        <f>'Export-dataset'!BQ12/'Export-dataset'!BQ11</f>
        <v>1.0552486187845305</v>
      </c>
      <c r="BR9" s="4">
        <f>'Export-dataset'!BR12/'Export-dataset'!BR11</f>
        <v>0.83781564360500926</v>
      </c>
      <c r="BS9" s="4">
        <f>'Export-dataset'!BS12/'Export-dataset'!BS11</f>
        <v>1.0607638888888888</v>
      </c>
      <c r="BT9" s="4">
        <f>'Export-dataset'!BT12/'Export-dataset'!BT11</f>
        <v>1.3138063806380638</v>
      </c>
      <c r="BU9" s="4">
        <f>'Export-dataset'!BU12/'Export-dataset'!BU11</f>
        <v>1.0950857032026571</v>
      </c>
      <c r="BV9" s="4">
        <f>'Export-dataset'!BV12/'Export-dataset'!BV11</f>
        <v>0.92320261437908502</v>
      </c>
      <c r="BW9" s="4">
        <f>'Export-dataset'!BW12/'Export-dataset'!BW11</f>
        <v>0.6663351566384883</v>
      </c>
      <c r="BX9" s="4">
        <f>'Export-dataset'!BX12/'Export-dataset'!BX11</f>
        <v>2.0909090909090908</v>
      </c>
      <c r="BY9" s="4">
        <f>'Export-dataset'!BY12/'Export-dataset'!BY11</f>
        <v>1.2592762415349887</v>
      </c>
      <c r="BZ9" s="4">
        <f>'Export-dataset'!BZ12/'Export-dataset'!BZ11</f>
        <v>0.73471775372916059</v>
      </c>
      <c r="CA9" s="4">
        <f>'Export-dataset'!CA12/'Export-dataset'!CA11</f>
        <v>0.92545956754376391</v>
      </c>
    </row>
    <row r="10" spans="1:79" x14ac:dyDescent="0.2">
      <c r="A10" s="4" t="s">
        <v>248</v>
      </c>
      <c r="B10" s="4">
        <f>'Export-dataset'!B13/'Export-dataset'!B12</f>
        <v>1.1803774590007992</v>
      </c>
      <c r="C10" s="4">
        <f>'Export-dataset'!C13/'Export-dataset'!C12</f>
        <v>1.1629364368845121</v>
      </c>
      <c r="D10" s="4">
        <f>'Export-dataset'!D13/'Export-dataset'!D12</f>
        <v>1.2767744054041374</v>
      </c>
      <c r="E10" s="4">
        <f>'Export-dataset'!E13/'Export-dataset'!E12</f>
        <v>1.04</v>
      </c>
      <c r="F10" s="4">
        <f>'Export-dataset'!F13/'Export-dataset'!F12</f>
        <v>1.3027071369975389</v>
      </c>
      <c r="G10" s="4">
        <f>'Export-dataset'!G13/'Export-dataset'!G12</f>
        <v>1.1761838946679275</v>
      </c>
      <c r="H10" s="4">
        <f>'Export-dataset'!H13/'Export-dataset'!H12</f>
        <v>1.0304230932503184</v>
      </c>
      <c r="I10" s="4">
        <f>'Export-dataset'!I13/'Export-dataset'!I12</f>
        <v>0.8825503355704698</v>
      </c>
      <c r="J10" s="4">
        <f>'Export-dataset'!J13/'Export-dataset'!J12</f>
        <v>1.151183970856102</v>
      </c>
      <c r="K10" s="4">
        <f>'Export-dataset'!K13/'Export-dataset'!K12</f>
        <v>1.0057215511760966</v>
      </c>
      <c r="L10" s="4">
        <f>'Export-dataset'!L13/'Export-dataset'!L12</f>
        <v>1.0865512649800266</v>
      </c>
      <c r="M10" s="4">
        <f>'Export-dataset'!M13/'Export-dataset'!M12</f>
        <v>0.96445423089021709</v>
      </c>
      <c r="N10" s="4">
        <f>'Export-dataset'!N13/'Export-dataset'!N12</f>
        <v>0.9525166191832859</v>
      </c>
      <c r="O10" s="4">
        <f>'Export-dataset'!O13/'Export-dataset'!O12</f>
        <v>2.9</v>
      </c>
      <c r="P10" s="4">
        <f>'Export-dataset'!P13/'Export-dataset'!P12</f>
        <v>1.0059191037263069</v>
      </c>
      <c r="Q10" s="4">
        <f>'Export-dataset'!Q13/'Export-dataset'!Q12</f>
        <v>1.0263157894736843</v>
      </c>
      <c r="R10" s="4">
        <f>'Export-dataset'!R13/'Export-dataset'!R12</f>
        <v>0.92227772227772231</v>
      </c>
      <c r="S10" s="4">
        <f>'Export-dataset'!S13/'Export-dataset'!S12</f>
        <v>1.5</v>
      </c>
      <c r="T10" s="4">
        <f>'Export-dataset'!T13/'Export-dataset'!T12</f>
        <v>1.0681179775280898</v>
      </c>
      <c r="U10" s="4">
        <f>'Export-dataset'!U13/'Export-dataset'!U12</f>
        <v>1.1322314049586777</v>
      </c>
      <c r="V10" s="4">
        <f>'Export-dataset'!V13/'Export-dataset'!V12</f>
        <v>0.93151738996614342</v>
      </c>
      <c r="W10" s="4">
        <f>'Export-dataset'!W13/'Export-dataset'!W12</f>
        <v>0.9466614755693985</v>
      </c>
      <c r="X10" s="4">
        <f>'Export-dataset'!X13/'Export-dataset'!X12</f>
        <v>1.0120799500312305</v>
      </c>
      <c r="Y10" s="4">
        <f>'Export-dataset'!Y13/'Export-dataset'!Y12</f>
        <v>1.1196850393700788</v>
      </c>
      <c r="Z10" s="4">
        <f>'Export-dataset'!Z13/'Export-dataset'!Z12</f>
        <v>0.82053008042518816</v>
      </c>
      <c r="AA10" s="4">
        <f>'Export-dataset'!AA13/'Export-dataset'!AA12</f>
        <v>0.75461407923225465</v>
      </c>
      <c r="AB10" s="4">
        <f>'Export-dataset'!AB13/'Export-dataset'!AB12</f>
        <v>0.9028829631515306</v>
      </c>
      <c r="AC10" s="4">
        <f>'Export-dataset'!AC13/'Export-dataset'!AC12</f>
        <v>0.882767429178267</v>
      </c>
      <c r="AD10" s="4">
        <f>'Export-dataset'!AD13/'Export-dataset'!AD12</f>
        <v>1.2927702219040802</v>
      </c>
      <c r="AE10" s="4">
        <f>'Export-dataset'!AE13/'Export-dataset'!AE12</f>
        <v>0.95144508670520234</v>
      </c>
      <c r="AF10" s="4">
        <f>'Export-dataset'!AF13/'Export-dataset'!AF12</f>
        <v>1.2716346153846154</v>
      </c>
      <c r="AG10" s="4">
        <f>'Export-dataset'!AG13/'Export-dataset'!AG12</f>
        <v>3.8559322033898304</v>
      </c>
      <c r="AH10" s="4">
        <f>'Export-dataset'!AH13/'Export-dataset'!AH12</f>
        <v>0.98932529335071706</v>
      </c>
      <c r="AI10" s="4">
        <f>'Export-dataset'!AI13/'Export-dataset'!AI12</f>
        <v>1.1674418604651162</v>
      </c>
      <c r="AJ10" s="4">
        <f>'Export-dataset'!AJ13/'Export-dataset'!AJ12</f>
        <v>1.109936575052854</v>
      </c>
      <c r="AK10" s="4">
        <f>'Export-dataset'!AK13/'Export-dataset'!AK12</f>
        <v>0.90619621342512913</v>
      </c>
      <c r="AL10" s="4">
        <f>'Export-dataset'!AL13/'Export-dataset'!AL12</f>
        <v>0.95377761277148687</v>
      </c>
      <c r="AM10" s="4">
        <f>'Export-dataset'!AM13/'Export-dataset'!AM12</f>
        <v>0.94721407624633436</v>
      </c>
      <c r="AN10" s="4">
        <f>'Export-dataset'!AN13/'Export-dataset'!AN12</f>
        <v>1.5240274599542334</v>
      </c>
      <c r="AO10" s="4">
        <f>'Export-dataset'!AO13/'Export-dataset'!AO12</f>
        <v>0.95578231292517002</v>
      </c>
      <c r="AP10" s="4">
        <f>'Export-dataset'!AP13/'Export-dataset'!AP12</f>
        <v>1.0266990291262137</v>
      </c>
      <c r="AQ10" s="4">
        <f>'Export-dataset'!AQ13/'Export-dataset'!AQ12</f>
        <v>0.96682188591385332</v>
      </c>
      <c r="AR10" s="4">
        <f>'Export-dataset'!AR13/'Export-dataset'!AR12</f>
        <v>1.1074335851815744</v>
      </c>
      <c r="AS10" s="4">
        <f>'Export-dataset'!AS13/'Export-dataset'!AS12</f>
        <v>0.9642857142857143</v>
      </c>
      <c r="AT10" s="4">
        <f>'Export-dataset'!AT13/'Export-dataset'!AT12</f>
        <v>1.042296072507553</v>
      </c>
      <c r="AU10" s="4">
        <f>'Export-dataset'!AU13/'Export-dataset'!AU12</f>
        <v>0.79381443298969068</v>
      </c>
      <c r="AV10" s="4">
        <f>'Export-dataset'!AV13/'Export-dataset'!AV12</f>
        <v>0.97755331088664421</v>
      </c>
      <c r="AW10" s="4">
        <f>'Export-dataset'!AW13/'Export-dataset'!AW12</f>
        <v>0.95663265306122447</v>
      </c>
      <c r="AX10" s="4">
        <f>'Export-dataset'!AX13/'Export-dataset'!AX12</f>
        <v>0.81355932203389836</v>
      </c>
      <c r="AY10" s="4">
        <f>'Export-dataset'!AY13/'Export-dataset'!AY12</f>
        <v>0.79129129129129128</v>
      </c>
      <c r="AZ10" s="4">
        <f>'Export-dataset'!AZ13/'Export-dataset'!AZ12</f>
        <v>1.1732051785013731</v>
      </c>
      <c r="BA10" s="4">
        <f>'Export-dataset'!BA13/'Export-dataset'!BA12</f>
        <v>0.99254742547425479</v>
      </c>
      <c r="BB10" s="4">
        <f>'Export-dataset'!BB13/'Export-dataset'!BB12</f>
        <v>1.0842608865455965</v>
      </c>
      <c r="BC10" s="4">
        <f>'Export-dataset'!BC13/'Export-dataset'!BC12</f>
        <v>1.1604938271604939</v>
      </c>
      <c r="BD10" s="4">
        <f>'Export-dataset'!BD13/'Export-dataset'!BD12</f>
        <v>1.029838022165388</v>
      </c>
      <c r="BE10" s="4">
        <f>'Export-dataset'!BE13/'Export-dataset'!BE12</f>
        <v>0.86713286713286708</v>
      </c>
      <c r="BF10" s="4">
        <f>'Export-dataset'!BF13/'Export-dataset'!BF12</f>
        <v>1.0409600000000001</v>
      </c>
      <c r="BG10" s="4">
        <f>'Export-dataset'!BG13/'Export-dataset'!BG12</f>
        <v>1.1949367088607594</v>
      </c>
      <c r="BH10" s="4">
        <f>'Export-dataset'!BH13/'Export-dataset'!BH12</f>
        <v>1.1070817653096134</v>
      </c>
      <c r="BI10" s="4">
        <f>'Export-dataset'!BI13/'Export-dataset'!BI12</f>
        <v>1.0146008077042559</v>
      </c>
      <c r="BJ10" s="4">
        <f>'Export-dataset'!BJ13/'Export-dataset'!BJ12</f>
        <v>1.1615759185480301</v>
      </c>
      <c r="BK10" s="4">
        <f>'Export-dataset'!BK13/'Export-dataset'!BK12</f>
        <v>1.0912052117263844</v>
      </c>
      <c r="BL10" s="4">
        <f>'Export-dataset'!BL13/'Export-dataset'!BL12</f>
        <v>1.0810096591944596</v>
      </c>
      <c r="BM10" s="4">
        <f>'Export-dataset'!BM13/'Export-dataset'!BM12</f>
        <v>0.99476439790575921</v>
      </c>
      <c r="BN10" s="4">
        <f>'Export-dataset'!BN13/'Export-dataset'!BN12</f>
        <v>1.0236686390532543</v>
      </c>
      <c r="BO10" s="4">
        <f>'Export-dataset'!BO13/'Export-dataset'!BO12</f>
        <v>1.0280898876404494</v>
      </c>
      <c r="BP10" s="4">
        <f>'Export-dataset'!BP13/'Export-dataset'!BP12</f>
        <v>1.0012936610608021</v>
      </c>
      <c r="BQ10" s="4">
        <f>'Export-dataset'!BQ13/'Export-dataset'!BQ12</f>
        <v>0.97905759162303663</v>
      </c>
      <c r="BR10" s="4">
        <f>'Export-dataset'!BR13/'Export-dataset'!BR12</f>
        <v>1.051948051948052</v>
      </c>
      <c r="BS10" s="4">
        <f>'Export-dataset'!BS13/'Export-dataset'!BS12</f>
        <v>1.0785597381342062</v>
      </c>
      <c r="BT10" s="4">
        <f>'Export-dataset'!BT13/'Export-dataset'!BT12</f>
        <v>1.1302072430395647</v>
      </c>
      <c r="BU10" s="4">
        <f>'Export-dataset'!BU13/'Export-dataset'!BU12</f>
        <v>1.4703447054395713</v>
      </c>
      <c r="BV10" s="4">
        <f>'Export-dataset'!BV13/'Export-dataset'!BV12</f>
        <v>0.77699115044247791</v>
      </c>
      <c r="BW10" s="4">
        <f>'Export-dataset'!BW13/'Export-dataset'!BW12</f>
        <v>1.3977611940298507</v>
      </c>
      <c r="BX10" s="4">
        <f>'Export-dataset'!BX13/'Export-dataset'!BX12</f>
        <v>0.73913043478260865</v>
      </c>
      <c r="BY10" s="4">
        <f>'Export-dataset'!BY13/'Export-dataset'!BY12</f>
        <v>1.6681231269081029</v>
      </c>
      <c r="BZ10" s="4">
        <f>'Export-dataset'!BZ13/'Export-dataset'!BZ12</f>
        <v>0.60111464968152861</v>
      </c>
      <c r="CA10" s="4">
        <f>'Export-dataset'!CA13/'Export-dataset'!CA12</f>
        <v>1.0118282419344544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A048F-7FE1-5640-995F-C2F4B7630D06}">
  <dimension ref="A1:CA10"/>
  <sheetViews>
    <sheetView workbookViewId="0">
      <selection activeCell="J15" sqref="J15"/>
    </sheetView>
  </sheetViews>
  <sheetFormatPr baseColWidth="10" defaultRowHeight="15" x14ac:dyDescent="0.2"/>
  <sheetData>
    <row r="1" spans="1:79" x14ac:dyDescent="0.2">
      <c r="A1" s="3" t="s">
        <v>252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t="s">
        <v>13</v>
      </c>
      <c r="O1" t="s">
        <v>14</v>
      </c>
      <c r="P1" s="3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3" t="s">
        <v>25</v>
      </c>
      <c r="AA1" t="s">
        <v>26</v>
      </c>
      <c r="AB1" t="s">
        <v>27</v>
      </c>
      <c r="AC1" t="s">
        <v>28</v>
      </c>
      <c r="AD1" s="3" t="s">
        <v>29</v>
      </c>
      <c r="AE1" t="s">
        <v>30</v>
      </c>
      <c r="AF1" t="s">
        <v>31</v>
      </c>
      <c r="AG1" t="s">
        <v>32</v>
      </c>
      <c r="AH1" s="3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s="3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s="3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s="3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s="3" t="s">
        <v>78</v>
      </c>
    </row>
    <row r="2" spans="1:79" x14ac:dyDescent="0.2">
      <c r="A2" t="s">
        <v>161</v>
      </c>
      <c r="B2" s="4">
        <f>'Import-dataset'!B5/'Import-dataset'!B4</f>
        <v>1.0233955784503113</v>
      </c>
      <c r="C2" s="4">
        <f>'Import-dataset'!C5/'Import-dataset'!C4</f>
        <v>1.28099173553719</v>
      </c>
      <c r="D2" s="4">
        <f>'Import-dataset'!D5/'Import-dataset'!D4</f>
        <v>1.0679487179487179</v>
      </c>
      <c r="E2" s="4">
        <f>'Import-dataset'!E5/'Import-dataset'!E4</f>
        <v>1.2288372093023257</v>
      </c>
      <c r="F2" s="4">
        <f>'Import-dataset'!F5/'Import-dataset'!F4</f>
        <v>1.0529157667386608</v>
      </c>
      <c r="G2" s="4">
        <f>'Import-dataset'!G5/'Import-dataset'!G4</f>
        <v>1.0347826086956522</v>
      </c>
      <c r="H2" s="4">
        <f>'Import-dataset'!H5/'Import-dataset'!H4</f>
        <v>1.0319108035371012</v>
      </c>
      <c r="I2" s="4">
        <f>'Import-dataset'!I5/'Import-dataset'!I4</f>
        <v>0.95238095238095233</v>
      </c>
      <c r="J2" s="4">
        <f>'Import-dataset'!J5/'Import-dataset'!J4</f>
        <v>1.0415189873417721</v>
      </c>
      <c r="K2" s="4">
        <f>'Import-dataset'!K5/'Import-dataset'!K4</f>
        <v>1.0217627856365614</v>
      </c>
      <c r="L2" s="4">
        <f>'Import-dataset'!L5/'Import-dataset'!L4</f>
        <v>0.89167812929848689</v>
      </c>
      <c r="M2" s="4">
        <f>'Import-dataset'!M5/'Import-dataset'!M4</f>
        <v>1.0042800366860287</v>
      </c>
      <c r="N2" s="4">
        <f>'Import-dataset'!N5/'Import-dataset'!N4</f>
        <v>1.0174029451137885</v>
      </c>
      <c r="O2" s="4">
        <f>'Import-dataset'!O5/'Import-dataset'!O4</f>
        <v>0.97955209347614414</v>
      </c>
      <c r="P2" s="4">
        <f>'Import-dataset'!P5/'Import-dataset'!P4</f>
        <v>1.1054273237679351</v>
      </c>
      <c r="Q2" s="4">
        <f>'Import-dataset'!Q5/'Import-dataset'!Q4</f>
        <v>0.6</v>
      </c>
      <c r="R2" s="4">
        <f>'Import-dataset'!R5/'Import-dataset'!R4</f>
        <v>1.2613636363636365</v>
      </c>
      <c r="S2" s="4">
        <f>'Import-dataset'!S5/'Import-dataset'!S4</f>
        <v>1.6176470588235294</v>
      </c>
      <c r="T2" s="4">
        <f>'Import-dataset'!T5/'Import-dataset'!T4</f>
        <v>1.0245098039215685</v>
      </c>
      <c r="U2" s="4">
        <f>'Import-dataset'!U5/'Import-dataset'!U4</f>
        <v>1.0943396226415094</v>
      </c>
      <c r="V2" s="4">
        <f>'Import-dataset'!V5/'Import-dataset'!V4</f>
        <v>0.91919191919191923</v>
      </c>
      <c r="W2" s="4">
        <f>'Import-dataset'!W5/'Import-dataset'!W4</f>
        <v>0.91961414790996787</v>
      </c>
      <c r="X2" s="4">
        <f>'Import-dataset'!X5/'Import-dataset'!X4</f>
        <v>1.2005899705014749</v>
      </c>
      <c r="Y2" s="4">
        <f>'Import-dataset'!Y5/'Import-dataset'!Y4</f>
        <v>1.0834845735027223</v>
      </c>
      <c r="Z2" s="4">
        <f>'Import-dataset'!Z5/'Import-dataset'!Z4</f>
        <v>1.2627097102186071</v>
      </c>
      <c r="AA2" s="4">
        <f>'Import-dataset'!AA5/'Import-dataset'!AA4</f>
        <v>2.7254901960784315</v>
      </c>
      <c r="AB2" s="4">
        <f>'Import-dataset'!AB5/'Import-dataset'!AB4</f>
        <v>1.2594895989706199</v>
      </c>
      <c r="AC2" s="4">
        <f>'Import-dataset'!AC5/'Import-dataset'!AC4</f>
        <v>1.2731092436974789</v>
      </c>
      <c r="AD2" s="4">
        <f>'Import-dataset'!AD5/'Import-dataset'!AD4</f>
        <v>1.0028571428571429</v>
      </c>
      <c r="AE2" s="4">
        <f>'Import-dataset'!AE5/'Import-dataset'!AE4</f>
        <v>0.91803278688524592</v>
      </c>
      <c r="AF2" s="4">
        <f>'Import-dataset'!AF5/'Import-dataset'!AF4</f>
        <v>0.99161073825503354</v>
      </c>
      <c r="AG2" s="4">
        <f>'Import-dataset'!AG5/'Import-dataset'!AG4</f>
        <v>1.2045454545454546</v>
      </c>
      <c r="AH2" s="4">
        <f>'Import-dataset'!AH5/'Import-dataset'!AH4</f>
        <v>1.0125970041508754</v>
      </c>
      <c r="AI2" s="4">
        <f>'Import-dataset'!AI5/'Import-dataset'!AI4</f>
        <v>0.98049792531120328</v>
      </c>
      <c r="AJ2" s="4">
        <f>'Import-dataset'!AJ5/'Import-dataset'!AJ4</f>
        <v>1.0070197830248884</v>
      </c>
      <c r="AK2" s="4">
        <f>'Import-dataset'!AK5/'Import-dataset'!AK4</f>
        <v>1.0220661985957873</v>
      </c>
      <c r="AL2" s="4">
        <f>'Import-dataset'!AL5/'Import-dataset'!AL4</f>
        <v>0.99216105469445925</v>
      </c>
      <c r="AM2" s="4">
        <f>'Import-dataset'!AM5/'Import-dataset'!AM4</f>
        <v>1.0496936691626957</v>
      </c>
      <c r="AN2" s="4">
        <f>'Import-dataset'!AN5/'Import-dataset'!AN4</f>
        <v>0.97502972651605235</v>
      </c>
      <c r="AO2" s="4">
        <f>'Import-dataset'!AO5/'Import-dataset'!AO4</f>
        <v>1.0771195097037793</v>
      </c>
      <c r="AP2" s="4">
        <f>'Import-dataset'!AP5/'Import-dataset'!AP4</f>
        <v>1.0241397021058039</v>
      </c>
      <c r="AQ2" s="4">
        <f>'Import-dataset'!AQ5/'Import-dataset'!AQ4</f>
        <v>1.0513767629281396</v>
      </c>
      <c r="AR2" s="4">
        <f>'Import-dataset'!AR5/'Import-dataset'!AR4</f>
        <v>1.0169365411189455</v>
      </c>
      <c r="AS2" s="4">
        <f>'Import-dataset'!AS5/'Import-dataset'!AS4</f>
        <v>0.97560975609756095</v>
      </c>
      <c r="AT2" s="4">
        <f>'Import-dataset'!AT5/'Import-dataset'!AT4</f>
        <v>1.0532509561635774</v>
      </c>
      <c r="AU2" s="4">
        <f>'Import-dataset'!AU5/'Import-dataset'!AU4</f>
        <v>1.078927203065134</v>
      </c>
      <c r="AV2" s="4">
        <f>'Import-dataset'!AV5/'Import-dataset'!AV4</f>
        <v>0.97865955318439479</v>
      </c>
      <c r="AW2" s="4">
        <f>'Import-dataset'!AW5/'Import-dataset'!AW4</f>
        <v>1.0075482247693599</v>
      </c>
      <c r="AX2" s="4">
        <f>'Import-dataset'!AX5/'Import-dataset'!AX4</f>
        <v>0.98622303093319474</v>
      </c>
      <c r="AY2" s="4">
        <f>'Import-dataset'!AY5/'Import-dataset'!AY4</f>
        <v>1.2081358609794628</v>
      </c>
      <c r="AZ2" s="4">
        <f>'Import-dataset'!AZ5/'Import-dataset'!AZ4</f>
        <v>0.92121887774061684</v>
      </c>
      <c r="BA2" s="4">
        <f>'Import-dataset'!BA5/'Import-dataset'!BA4</f>
        <v>0.99675745784695202</v>
      </c>
      <c r="BB2" s="4">
        <f>'Import-dataset'!BB5/'Import-dataset'!BB4</f>
        <v>1.1413018232493322</v>
      </c>
      <c r="BC2" s="4">
        <f>'Import-dataset'!BC5/'Import-dataset'!BC4</f>
        <v>1.0754120568977197</v>
      </c>
      <c r="BD2" s="4">
        <f>'Import-dataset'!BD5/'Import-dataset'!BD4</f>
        <v>1.1572080887149381</v>
      </c>
      <c r="BE2" s="4">
        <f>'Import-dataset'!BE5/'Import-dataset'!BE4</f>
        <v>1.0739495798319327</v>
      </c>
      <c r="BF2" s="4">
        <f>'Import-dataset'!BF5/'Import-dataset'!BF4</f>
        <v>0.92416079569001242</v>
      </c>
      <c r="BG2" s="4">
        <f>'Import-dataset'!BG5/'Import-dataset'!BG4</f>
        <v>1.0732630717282308</v>
      </c>
      <c r="BH2" s="4">
        <f>'Import-dataset'!BH5/'Import-dataset'!BH4</f>
        <v>1.067543499109467</v>
      </c>
      <c r="BI2" s="4">
        <f>'Import-dataset'!BI5/'Import-dataset'!BI4</f>
        <v>1.1182672473068989</v>
      </c>
      <c r="BJ2" s="4">
        <f>'Import-dataset'!BJ5/'Import-dataset'!BJ4</f>
        <v>1.0841566895269092</v>
      </c>
      <c r="BK2" s="4">
        <f>'Import-dataset'!BK5/'Import-dataset'!BK4</f>
        <v>2.8558789289871944</v>
      </c>
      <c r="BL2" s="4">
        <f>'Import-dataset'!BL5/'Import-dataset'!BL4</f>
        <v>1.0051034311903877</v>
      </c>
      <c r="BM2" s="4">
        <f>'Import-dataset'!BM5/'Import-dataset'!BM4</f>
        <v>0.98073449729078865</v>
      </c>
      <c r="BN2" s="4">
        <f>'Import-dataset'!BN5/'Import-dataset'!BN4</f>
        <v>0.99532273152478956</v>
      </c>
      <c r="BO2" s="4">
        <f>'Import-dataset'!BO5/'Import-dataset'!BO4</f>
        <v>1.0512995896032831</v>
      </c>
      <c r="BP2" s="4">
        <f>'Import-dataset'!BP5/'Import-dataset'!BP4</f>
        <v>1.0145163163395656</v>
      </c>
      <c r="BQ2" s="4">
        <f>'Import-dataset'!BQ5/'Import-dataset'!BQ4</f>
        <v>0.98864668483197093</v>
      </c>
      <c r="BR2" s="4">
        <f>'Import-dataset'!BR5/'Import-dataset'!BR4</f>
        <v>0.96862048549437541</v>
      </c>
      <c r="BS2" s="4">
        <f>'Import-dataset'!BS5/'Import-dataset'!BS4</f>
        <v>0.98273070696168374</v>
      </c>
      <c r="BT2" s="4">
        <f>'Import-dataset'!BT5/'Import-dataset'!BT4</f>
        <v>1.023621466007234</v>
      </c>
      <c r="BU2" s="4">
        <f>'Import-dataset'!BU5/'Import-dataset'!BU4</f>
        <v>2.1478618751254768</v>
      </c>
      <c r="BV2" s="4">
        <f>'Import-dataset'!BV5/'Import-dataset'!BV4</f>
        <v>3</v>
      </c>
      <c r="BW2" s="4">
        <f>'Import-dataset'!BW5/'Import-dataset'!BW4</f>
        <v>0.51219512195121952</v>
      </c>
      <c r="BX2" s="4">
        <f>'Import-dataset'!BX5/'Import-dataset'!BX4</f>
        <v>0.42857142857142855</v>
      </c>
      <c r="BY2" s="4">
        <f>'Import-dataset'!BY5/'Import-dataset'!BY4</f>
        <v>0.83288698446705944</v>
      </c>
      <c r="BZ2" s="4">
        <f>'Import-dataset'!BZ5/'Import-dataset'!BZ4</f>
        <v>6.2049180327868854</v>
      </c>
      <c r="CA2" s="4">
        <f>'Import-dataset'!CA5/'Import-dataset'!CA4</f>
        <v>1.1334643889205607</v>
      </c>
    </row>
    <row r="3" spans="1:79" x14ac:dyDescent="0.2">
      <c r="A3" t="s">
        <v>162</v>
      </c>
      <c r="B3" s="4">
        <f>'Import-dataset'!B6/'Import-dataset'!B5</f>
        <v>1.0578859060402686</v>
      </c>
      <c r="C3" s="4">
        <f>'Import-dataset'!C6/'Import-dataset'!C5</f>
        <v>1.0838709677419356</v>
      </c>
      <c r="D3" s="4">
        <f>'Import-dataset'!D6/'Import-dataset'!D5</f>
        <v>0.98679471788715489</v>
      </c>
      <c r="E3" s="4">
        <f>'Import-dataset'!E6/'Import-dataset'!E5</f>
        <v>1.0749432248296744</v>
      </c>
      <c r="F3" s="4">
        <f>'Import-dataset'!F6/'Import-dataset'!F5</f>
        <v>1.0323076923076924</v>
      </c>
      <c r="G3" s="4">
        <f>'Import-dataset'!G6/'Import-dataset'!G5</f>
        <v>1.1298701298701299</v>
      </c>
      <c r="H3" s="4">
        <f>'Import-dataset'!H6/'Import-dataset'!H5</f>
        <v>0.98621460506706404</v>
      </c>
      <c r="I3" s="4">
        <f>'Import-dataset'!I6/'Import-dataset'!I5</f>
        <v>1.05</v>
      </c>
      <c r="J3" s="4">
        <f>'Import-dataset'!J6/'Import-dataset'!J5</f>
        <v>0.98736023334953815</v>
      </c>
      <c r="K3" s="4">
        <f>'Import-dataset'!K6/'Import-dataset'!K5</f>
        <v>1.1714589989350372</v>
      </c>
      <c r="L3" s="4">
        <f>'Import-dataset'!L6/'Import-dataset'!L5</f>
        <v>1.1453914384882375</v>
      </c>
      <c r="M3" s="4">
        <f>'Import-dataset'!M6/'Import-dataset'!M5</f>
        <v>1.0779299847792998</v>
      </c>
      <c r="N3" s="4">
        <f>'Import-dataset'!N6/'Import-dataset'!N5</f>
        <v>1.0877192982456141</v>
      </c>
      <c r="O3" s="4">
        <f>'Import-dataset'!O6/'Import-dataset'!O5</f>
        <v>1.0566600397614314</v>
      </c>
      <c r="P3" s="4">
        <f>'Import-dataset'!P6/'Import-dataset'!P5</f>
        <v>1.1244356659142212</v>
      </c>
      <c r="Q3" s="4">
        <f>'Import-dataset'!Q6/'Import-dataset'!Q5</f>
        <v>0.66666666666666663</v>
      </c>
      <c r="R3" s="4">
        <f>'Import-dataset'!R6/'Import-dataset'!R5</f>
        <v>1.0360360360360361</v>
      </c>
      <c r="S3" s="4">
        <f>'Import-dataset'!S6/'Import-dataset'!S5</f>
        <v>0.96969696969696972</v>
      </c>
      <c r="T3" s="4">
        <f>'Import-dataset'!T6/'Import-dataset'!T5</f>
        <v>1.2452153110047848</v>
      </c>
      <c r="U3" s="4">
        <f>'Import-dataset'!U6/'Import-dataset'!U5</f>
        <v>1.2241379310344827</v>
      </c>
      <c r="V3" s="4">
        <f>'Import-dataset'!V6/'Import-dataset'!V5</f>
        <v>1.0879120879120878</v>
      </c>
      <c r="W3" s="4">
        <f>'Import-dataset'!W6/'Import-dataset'!W5</f>
        <v>1.1048951048951048</v>
      </c>
      <c r="X3" s="4">
        <f>'Import-dataset'!X6/'Import-dataset'!X5</f>
        <v>1.0696150696150697</v>
      </c>
      <c r="Y3" s="4">
        <f>'Import-dataset'!Y6/'Import-dataset'!Y5</f>
        <v>1.1088777219430486</v>
      </c>
      <c r="Z3" s="4">
        <f>'Import-dataset'!Z6/'Import-dataset'!Z5</f>
        <v>1.3592350276799194</v>
      </c>
      <c r="AA3" s="4">
        <f>'Import-dataset'!AA6/'Import-dataset'!AA5</f>
        <v>1.2805755395683454</v>
      </c>
      <c r="AB3" s="4">
        <f>'Import-dataset'!AB6/'Import-dataset'!AB5</f>
        <v>1.3603609739485782</v>
      </c>
      <c r="AC3" s="4">
        <f>'Import-dataset'!AC6/'Import-dataset'!AC5</f>
        <v>1.2871287128712872</v>
      </c>
      <c r="AD3" s="4">
        <f>'Import-dataset'!AD6/'Import-dataset'!AD5</f>
        <v>1.0769230769230769</v>
      </c>
      <c r="AE3" s="4">
        <f>'Import-dataset'!AE6/'Import-dataset'!AE5</f>
        <v>1.25</v>
      </c>
      <c r="AF3" s="4">
        <f>'Import-dataset'!AF6/'Import-dataset'!AF5</f>
        <v>1.0609137055837563</v>
      </c>
      <c r="AG3" s="4">
        <f>'Import-dataset'!AG6/'Import-dataset'!AG5</f>
        <v>1.0188679245283019</v>
      </c>
      <c r="AH3" s="4">
        <f>'Import-dataset'!AH6/'Import-dataset'!AH5</f>
        <v>1.0635559991445069</v>
      </c>
      <c r="AI3" s="4">
        <f>'Import-dataset'!AI6/'Import-dataset'!AI5</f>
        <v>1.060939483707152</v>
      </c>
      <c r="AJ3" s="4">
        <f>'Import-dataset'!AJ6/'Import-dataset'!AJ5</f>
        <v>0.70152091254752846</v>
      </c>
      <c r="AK3" s="4">
        <f>'Import-dataset'!AK6/'Import-dataset'!AK5</f>
        <v>1.0902845927379785</v>
      </c>
      <c r="AL3" s="4">
        <f>'Import-dataset'!AL6/'Import-dataset'!AL5</f>
        <v>1.0578200754174896</v>
      </c>
      <c r="AM3" s="4">
        <f>'Import-dataset'!AM6/'Import-dataset'!AM5</f>
        <v>1.1656939040207523</v>
      </c>
      <c r="AN3" s="4">
        <f>'Import-dataset'!AN6/'Import-dataset'!AN5</f>
        <v>1.1676829268292683</v>
      </c>
      <c r="AO3" s="4">
        <f>'Import-dataset'!AO6/'Import-dataset'!AO5</f>
        <v>1.166429587482219</v>
      </c>
      <c r="AP3" s="4">
        <f>'Import-dataset'!AP6/'Import-dataset'!AP5</f>
        <v>1.1013039117352057</v>
      </c>
      <c r="AQ3" s="4">
        <f>'Import-dataset'!AQ6/'Import-dataset'!AQ5</f>
        <v>1.0095816033216225</v>
      </c>
      <c r="AR3" s="4">
        <f>'Import-dataset'!AR6/'Import-dataset'!AR5</f>
        <v>1.1303787324483467</v>
      </c>
      <c r="AS3" s="4">
        <f>'Import-dataset'!AS6/'Import-dataset'!AS5</f>
        <v>0.96250000000000002</v>
      </c>
      <c r="AT3" s="4">
        <f>'Import-dataset'!AT6/'Import-dataset'!AT5</f>
        <v>1.1078212290502794</v>
      </c>
      <c r="AU3" s="4">
        <f>'Import-dataset'!AU6/'Import-dataset'!AU5</f>
        <v>1.1335227272727273</v>
      </c>
      <c r="AV3" s="4">
        <f>'Import-dataset'!AV6/'Import-dataset'!AV5</f>
        <v>1.0776831345826234</v>
      </c>
      <c r="AW3" s="4">
        <f>'Import-dataset'!AW6/'Import-dataset'!AW5</f>
        <v>1.0588235294117647</v>
      </c>
      <c r="AX3" s="4">
        <f>'Import-dataset'!AX6/'Import-dataset'!AX5</f>
        <v>1.0643120716921455</v>
      </c>
      <c r="AY3" s="4">
        <f>'Import-dataset'!AY6/'Import-dataset'!AY5</f>
        <v>1.2752533507682249</v>
      </c>
      <c r="AZ3" s="4">
        <f>'Import-dataset'!AZ6/'Import-dataset'!AZ5</f>
        <v>1.1194029850746268</v>
      </c>
      <c r="BA3" s="4">
        <f>'Import-dataset'!BA6/'Import-dataset'!BA5</f>
        <v>1.1761873780091086</v>
      </c>
      <c r="BB3" s="4">
        <f>'Import-dataset'!BB6/'Import-dataset'!BB5</f>
        <v>1.0294319656075908</v>
      </c>
      <c r="BC3" s="4">
        <f>'Import-dataset'!BC6/'Import-dataset'!BC5</f>
        <v>1.2462733571278606</v>
      </c>
      <c r="BD3" s="4">
        <f>'Import-dataset'!BD6/'Import-dataset'!BD5</f>
        <v>1.1819616685456595</v>
      </c>
      <c r="BE3" s="4">
        <f>'Import-dataset'!BE6/'Import-dataset'!BE5</f>
        <v>1.1752738654147106</v>
      </c>
      <c r="BF3" s="4">
        <f>'Import-dataset'!BF6/'Import-dataset'!BF5</f>
        <v>1.1174887892376681</v>
      </c>
      <c r="BG3" s="4">
        <f>'Import-dataset'!BG6/'Import-dataset'!BG5</f>
        <v>1.1351892458766326</v>
      </c>
      <c r="BH3" s="4">
        <f>'Import-dataset'!BH6/'Import-dataset'!BH5</f>
        <v>1.1015143737166324</v>
      </c>
      <c r="BI3" s="4">
        <f>'Import-dataset'!BI6/'Import-dataset'!BI5</f>
        <v>1.1493475438956071</v>
      </c>
      <c r="BJ3" s="4">
        <f>'Import-dataset'!BJ6/'Import-dataset'!BJ5</f>
        <v>1.0477913584217862</v>
      </c>
      <c r="BK3" s="4">
        <f>'Import-dataset'!BK6/'Import-dataset'!BK5</f>
        <v>0.35007337355291046</v>
      </c>
      <c r="BL3" s="4">
        <f>'Import-dataset'!BL6/'Import-dataset'!BL5</f>
        <v>1.0918882945946613</v>
      </c>
      <c r="BM3" s="4">
        <f>'Import-dataset'!BM6/'Import-dataset'!BM5</f>
        <v>1.098219766728054</v>
      </c>
      <c r="BN3" s="4">
        <f>'Import-dataset'!BN6/'Import-dataset'!BN5</f>
        <v>1.1452067669172932</v>
      </c>
      <c r="BO3" s="4">
        <f>'Import-dataset'!BO6/'Import-dataset'!BO5</f>
        <v>1.199089134677944</v>
      </c>
      <c r="BP3" s="4">
        <f>'Import-dataset'!BP6/'Import-dataset'!BP5</f>
        <v>1.0850503663003663</v>
      </c>
      <c r="BQ3" s="4">
        <f>'Import-dataset'!BQ6/'Import-dataset'!BQ5</f>
        <v>1.067524115755627</v>
      </c>
      <c r="BR3" s="4">
        <f>'Import-dataset'!BR6/'Import-dataset'!BR5</f>
        <v>1.1253056234718826</v>
      </c>
      <c r="BS3" s="4">
        <f>'Import-dataset'!BS6/'Import-dataset'!BS5</f>
        <v>1.0620538165842943</v>
      </c>
      <c r="BT3" s="4">
        <f>'Import-dataset'!BT6/'Import-dataset'!BT5</f>
        <v>1.0594216485180645</v>
      </c>
      <c r="BU3" s="4">
        <f>'Import-dataset'!BU6/'Import-dataset'!BU5</f>
        <v>0.56736925737252886</v>
      </c>
      <c r="BV3" s="4">
        <f>'Import-dataset'!BV6/'Import-dataset'!BV5</f>
        <v>0.41666666666666669</v>
      </c>
      <c r="BW3" s="4">
        <f>'Import-dataset'!BW6/'Import-dataset'!BW5</f>
        <v>1.4285714285714286</v>
      </c>
      <c r="BX3" s="4">
        <f>'Import-dataset'!BX6/'Import-dataset'!BX5</f>
        <v>2.3333333333333335</v>
      </c>
      <c r="BY3" s="4">
        <f>'Import-dataset'!BY6/'Import-dataset'!BY5</f>
        <v>1.0265273311897105</v>
      </c>
      <c r="BZ3" s="4">
        <f>'Import-dataset'!BZ6/'Import-dataset'!BZ5</f>
        <v>0.37721268163804489</v>
      </c>
      <c r="CA3" s="4">
        <f>'Import-dataset'!CA6/'Import-dataset'!CA5</f>
        <v>1.0546635170712926</v>
      </c>
    </row>
    <row r="4" spans="1:79" x14ac:dyDescent="0.2">
      <c r="A4" t="s">
        <v>163</v>
      </c>
      <c r="B4" s="4">
        <f>'Import-dataset'!B7/'Import-dataset'!B6</f>
        <v>1.119349722442506</v>
      </c>
      <c r="C4" s="4">
        <f>'Import-dataset'!C7/'Import-dataset'!C6</f>
        <v>0.86309523809523814</v>
      </c>
      <c r="D4" s="4">
        <f>'Import-dataset'!D7/'Import-dataset'!D6</f>
        <v>1.2518248175182483</v>
      </c>
      <c r="E4" s="4">
        <f>'Import-dataset'!E7/'Import-dataset'!E6</f>
        <v>1.0401408450704226</v>
      </c>
      <c r="F4" s="4">
        <f>'Import-dataset'!F7/'Import-dataset'!F6</f>
        <v>1.0104321907600595</v>
      </c>
      <c r="G4" s="4">
        <f>'Import-dataset'!G7/'Import-dataset'!G6</f>
        <v>1.2954699121027722</v>
      </c>
      <c r="H4" s="4">
        <f>'Import-dataset'!H7/'Import-dataset'!H6</f>
        <v>1.0600680015111448</v>
      </c>
      <c r="I4" s="4">
        <f>'Import-dataset'!I7/'Import-dataset'!I6</f>
        <v>1.0041407867494825</v>
      </c>
      <c r="J4" s="4">
        <f>'Import-dataset'!J7/'Import-dataset'!J6</f>
        <v>1.0492368291482028</v>
      </c>
      <c r="K4" s="4">
        <f>'Import-dataset'!K7/'Import-dataset'!K6</f>
        <v>1.1254545454545455</v>
      </c>
      <c r="L4" s="4">
        <f>'Import-dataset'!L7/'Import-dataset'!L6</f>
        <v>1.2383838383838384</v>
      </c>
      <c r="M4" s="4">
        <f>'Import-dataset'!M7/'Import-dataset'!M6</f>
        <v>1.0725783676927421</v>
      </c>
      <c r="N4" s="4">
        <f>'Import-dataset'!N7/'Import-dataset'!N6</f>
        <v>1.0838709677419356</v>
      </c>
      <c r="O4" s="4">
        <f>'Import-dataset'!O7/'Import-dataset'!O6</f>
        <v>1.0470366886171214</v>
      </c>
      <c r="P4" s="4">
        <f>'Import-dataset'!P7/'Import-dataset'!P6</f>
        <v>0.78745294855708914</v>
      </c>
      <c r="Q4" s="4">
        <f>'Import-dataset'!Q7/'Import-dataset'!Q6</f>
        <v>3.5</v>
      </c>
      <c r="R4" s="4">
        <f>'Import-dataset'!R7/'Import-dataset'!R6</f>
        <v>1.1043478260869566</v>
      </c>
      <c r="S4" s="4">
        <f>'Import-dataset'!S7/'Import-dataset'!S6</f>
        <v>0.91874999999999996</v>
      </c>
      <c r="T4" s="4">
        <f>'Import-dataset'!T7/'Import-dataset'!T6</f>
        <v>0.7694524495677233</v>
      </c>
      <c r="U4" s="4">
        <f>'Import-dataset'!U7/'Import-dataset'!U6</f>
        <v>0.91549295774647887</v>
      </c>
      <c r="V4" s="4">
        <f>'Import-dataset'!V7/'Import-dataset'!V6</f>
        <v>0.98989898989898994</v>
      </c>
      <c r="W4" s="4">
        <f>'Import-dataset'!W7/'Import-dataset'!W6</f>
        <v>0.90506329113924056</v>
      </c>
      <c r="X4" s="4">
        <f>'Import-dataset'!X7/'Import-dataset'!X6</f>
        <v>0.56967840735068909</v>
      </c>
      <c r="Y4" s="4">
        <f>'Import-dataset'!Y7/'Import-dataset'!Y6</f>
        <v>1.0045317220543806</v>
      </c>
      <c r="Z4" s="4">
        <f>'Import-dataset'!Z7/'Import-dataset'!Z6</f>
        <v>0.95759281200631907</v>
      </c>
      <c r="AA4" s="4">
        <f>'Import-dataset'!AA7/'Import-dataset'!AA6</f>
        <v>1.1404494382022472</v>
      </c>
      <c r="AB4" s="4">
        <f>'Import-dataset'!AB7/'Import-dataset'!AB6</f>
        <v>0.960197261371317</v>
      </c>
      <c r="AC4" s="4">
        <f>'Import-dataset'!AC7/'Import-dataset'!AC6</f>
        <v>0.60512820512820509</v>
      </c>
      <c r="AD4" s="4">
        <f>'Import-dataset'!AD7/'Import-dataset'!AD6</f>
        <v>0.95899470899470896</v>
      </c>
      <c r="AE4" s="4">
        <f>'Import-dataset'!AE7/'Import-dataset'!AE6</f>
        <v>1.1857142857142857</v>
      </c>
      <c r="AF4" s="4">
        <f>'Import-dataset'!AF7/'Import-dataset'!AF6</f>
        <v>0.92344497607655507</v>
      </c>
      <c r="AG4" s="4">
        <f>'Import-dataset'!AG7/'Import-dataset'!AG6</f>
        <v>1.1851851851851851</v>
      </c>
      <c r="AH4" s="4">
        <f>'Import-dataset'!AH7/'Import-dataset'!AH6</f>
        <v>1.0397828199886048</v>
      </c>
      <c r="AI4" s="4">
        <f>'Import-dataset'!AI7/'Import-dataset'!AI6</f>
        <v>0.90147586757080178</v>
      </c>
      <c r="AJ4" s="4">
        <f>'Import-dataset'!AJ7/'Import-dataset'!AJ6</f>
        <v>0.93134598012646796</v>
      </c>
      <c r="AK4" s="4">
        <f>'Import-dataset'!AK7/'Import-dataset'!AK6</f>
        <v>0.97569756975697575</v>
      </c>
      <c r="AL4" s="4">
        <f>'Import-dataset'!AL7/'Import-dataset'!AL6</f>
        <v>1.1128840604311663</v>
      </c>
      <c r="AM4" s="4">
        <f>'Import-dataset'!AM7/'Import-dataset'!AM6</f>
        <v>1.0751043115438108</v>
      </c>
      <c r="AN4" s="4">
        <f>'Import-dataset'!AN7/'Import-dataset'!AN6</f>
        <v>1.122715404699739</v>
      </c>
      <c r="AO4" s="4">
        <f>'Import-dataset'!AO7/'Import-dataset'!AO6</f>
        <v>0.89878048780487807</v>
      </c>
      <c r="AP4" s="4">
        <f>'Import-dataset'!AP7/'Import-dataset'!AP6</f>
        <v>1.0136612021857923</v>
      </c>
      <c r="AQ4" s="4">
        <f>'Import-dataset'!AQ7/'Import-dataset'!AQ6</f>
        <v>0.97753875355900033</v>
      </c>
      <c r="AR4" s="4">
        <f>'Import-dataset'!AR7/'Import-dataset'!AR6</f>
        <v>0.99516074345775674</v>
      </c>
      <c r="AS4" s="4">
        <f>'Import-dataset'!AS7/'Import-dataset'!AS6</f>
        <v>0.9285714285714286</v>
      </c>
      <c r="AT4" s="4">
        <f>'Import-dataset'!AT7/'Import-dataset'!AT6</f>
        <v>1.0695915279878971</v>
      </c>
      <c r="AU4" s="4">
        <f>'Import-dataset'!AU7/'Import-dataset'!AU6</f>
        <v>0.95050125313283207</v>
      </c>
      <c r="AV4" s="4">
        <f>'Import-dataset'!AV7/'Import-dataset'!AV6</f>
        <v>1.0546949098956686</v>
      </c>
      <c r="AW4" s="4">
        <f>'Import-dataset'!AW7/'Import-dataset'!AW6</f>
        <v>1.0047169811320755</v>
      </c>
      <c r="AX4" s="4">
        <f>'Import-dataset'!AX7/'Import-dataset'!AX6</f>
        <v>1.0178306092124814</v>
      </c>
      <c r="AY4" s="4">
        <f>'Import-dataset'!AY7/'Import-dataset'!AY6</f>
        <v>0.83850294796206104</v>
      </c>
      <c r="AZ4" s="4">
        <f>'Import-dataset'!AZ7/'Import-dataset'!AZ6</f>
        <v>1.0356756756756758</v>
      </c>
      <c r="BA4" s="4">
        <f>'Import-dataset'!BA7/'Import-dataset'!BA6</f>
        <v>0.99092820002212634</v>
      </c>
      <c r="BB4" s="4">
        <f>'Import-dataset'!BB7/'Import-dataset'!BB6</f>
        <v>1.0155019603966919</v>
      </c>
      <c r="BC4" s="4">
        <f>'Import-dataset'!BC7/'Import-dataset'!BC6</f>
        <v>1.0630053908355794</v>
      </c>
      <c r="BD4" s="4">
        <f>'Import-dataset'!BD7/'Import-dataset'!BD6</f>
        <v>1.0194582220526516</v>
      </c>
      <c r="BE4" s="4">
        <f>'Import-dataset'!BE7/'Import-dataset'!BE6</f>
        <v>1.1504660452729694</v>
      </c>
      <c r="BF4" s="4">
        <f>'Import-dataset'!BF7/'Import-dataset'!BF6</f>
        <v>1.0464151952915999</v>
      </c>
      <c r="BG4" s="4">
        <f>'Import-dataset'!BG7/'Import-dataset'!BG6</f>
        <v>0.98572268413538255</v>
      </c>
      <c r="BH4" s="4">
        <f>'Import-dataset'!BH7/'Import-dataset'!BH6</f>
        <v>1.0280787603402073</v>
      </c>
      <c r="BI4" s="4">
        <f>'Import-dataset'!BI7/'Import-dataset'!BI6</f>
        <v>1.0373298460441063</v>
      </c>
      <c r="BJ4" s="4">
        <f>'Import-dataset'!BJ7/'Import-dataset'!BJ6</f>
        <v>0.95382568877746798</v>
      </c>
      <c r="BK4" s="4">
        <f>'Import-dataset'!BK7/'Import-dataset'!BK6</f>
        <v>1.3181183046110851</v>
      </c>
      <c r="BL4" s="4">
        <f>'Import-dataset'!BL7/'Import-dataset'!BL6</f>
        <v>1.0453509108557755</v>
      </c>
      <c r="BM4" s="4">
        <f>'Import-dataset'!BM7/'Import-dataset'!BM6</f>
        <v>0.97372833985466745</v>
      </c>
      <c r="BN4" s="4">
        <f>'Import-dataset'!BN7/'Import-dataset'!BN6</f>
        <v>1.0223635617562576</v>
      </c>
      <c r="BO4" s="4">
        <f>'Import-dataset'!BO7/'Import-dataset'!BO6</f>
        <v>1.0233315246880086</v>
      </c>
      <c r="BP4" s="4">
        <f>'Import-dataset'!BP7/'Import-dataset'!BP6</f>
        <v>1.0765903576326616</v>
      </c>
      <c r="BQ4" s="4">
        <f>'Import-dataset'!BQ7/'Import-dataset'!BQ6</f>
        <v>1.1032702237521514</v>
      </c>
      <c r="BR4" s="4">
        <f>'Import-dataset'!BR7/'Import-dataset'!BR6</f>
        <v>1.0491580662683324</v>
      </c>
      <c r="BS4" s="4">
        <f>'Import-dataset'!BS7/'Import-dataset'!BS6</f>
        <v>1.0744570837642193</v>
      </c>
      <c r="BT4" s="4">
        <f>'Import-dataset'!BT7/'Import-dataset'!BT6</f>
        <v>1.0300864474848548</v>
      </c>
      <c r="BU4" s="4">
        <f>'Import-dataset'!BU7/'Import-dataset'!BU6</f>
        <v>0.92677100494233933</v>
      </c>
      <c r="BV4" s="4">
        <f>'Import-dataset'!BV7/'Import-dataset'!BV6</f>
        <v>1</v>
      </c>
      <c r="BW4" s="4">
        <f>'Import-dataset'!BW7/'Import-dataset'!BW6</f>
        <v>1.1000000000000001</v>
      </c>
      <c r="BX4" s="4">
        <f>'Import-dataset'!BX7/'Import-dataset'!BX6</f>
        <v>0.2857142857142857</v>
      </c>
      <c r="BY4" s="4">
        <f>'Import-dataset'!BY7/'Import-dataset'!BY6</f>
        <v>1.060610806577917</v>
      </c>
      <c r="BZ4" s="4">
        <f>'Import-dataset'!BZ7/'Import-dataset'!BZ6</f>
        <v>0.776396427946069</v>
      </c>
      <c r="CA4" s="4">
        <f>'Import-dataset'!CA7/'Import-dataset'!CA6</f>
        <v>1.0115079756618977</v>
      </c>
    </row>
    <row r="5" spans="1:79" x14ac:dyDescent="0.2">
      <c r="A5" t="s">
        <v>164</v>
      </c>
      <c r="B5" s="4">
        <f>'Import-dataset'!B8/'Import-dataset'!B7</f>
        <v>1.0394969890187744</v>
      </c>
      <c r="C5" s="4">
        <f>'Import-dataset'!C8/'Import-dataset'!C7</f>
        <v>1.0827586206896551</v>
      </c>
      <c r="D5" s="4">
        <f>'Import-dataset'!D8/'Import-dataset'!D7</f>
        <v>0.87949465500485913</v>
      </c>
      <c r="E5" s="4">
        <f>'Import-dataset'!E8/'Import-dataset'!E7</f>
        <v>1.0758293838862558</v>
      </c>
      <c r="F5" s="4">
        <f>'Import-dataset'!F8/'Import-dataset'!F7</f>
        <v>0.92527040314650932</v>
      </c>
      <c r="G5" s="4">
        <f>'Import-dataset'!G8/'Import-dataset'!G7</f>
        <v>1.0897703549060542</v>
      </c>
      <c r="H5" s="4">
        <f>'Import-dataset'!H8/'Import-dataset'!H7</f>
        <v>1.1072701354240913</v>
      </c>
      <c r="I5" s="4">
        <f>'Import-dataset'!I8/'Import-dataset'!I7</f>
        <v>1.0082474226804123</v>
      </c>
      <c r="J5" s="4">
        <f>'Import-dataset'!J8/'Import-dataset'!J7</f>
        <v>1.0361332707648991</v>
      </c>
      <c r="K5" s="4">
        <f>'Import-dataset'!K8/'Import-dataset'!K7</f>
        <v>1.0945072697899838</v>
      </c>
      <c r="L5" s="4">
        <f>'Import-dataset'!L8/'Import-dataset'!L7</f>
        <v>1.0396954866775421</v>
      </c>
      <c r="M5" s="4">
        <f>'Import-dataset'!M8/'Import-dataset'!M7</f>
        <v>0.91495523959978942</v>
      </c>
      <c r="N5" s="4">
        <f>'Import-dataset'!N8/'Import-dataset'!N7</f>
        <v>0.96168154761904767</v>
      </c>
      <c r="O5" s="4">
        <f>'Import-dataset'!O8/'Import-dataset'!O7</f>
        <v>0.80053908355795145</v>
      </c>
      <c r="P5" s="4">
        <f>'Import-dataset'!P8/'Import-dataset'!P7</f>
        <v>1.0379222434671767</v>
      </c>
      <c r="Q5" s="4">
        <f>'Import-dataset'!Q8/'Import-dataset'!Q7</f>
        <v>1</v>
      </c>
      <c r="R5" s="4">
        <f>'Import-dataset'!R8/'Import-dataset'!R7</f>
        <v>1.110236220472441</v>
      </c>
      <c r="S5" s="4">
        <f>'Import-dataset'!S8/'Import-dataset'!S7</f>
        <v>0.82993197278911568</v>
      </c>
      <c r="T5" s="4">
        <f>'Import-dataset'!T8/'Import-dataset'!T7</f>
        <v>1</v>
      </c>
      <c r="U5" s="4">
        <f>'Import-dataset'!U8/'Import-dataset'!U7</f>
        <v>0.92307692307692313</v>
      </c>
      <c r="V5" s="4">
        <f>'Import-dataset'!V8/'Import-dataset'!V7</f>
        <v>0.98979591836734693</v>
      </c>
      <c r="W5" s="4">
        <f>'Import-dataset'!W8/'Import-dataset'!W7</f>
        <v>1.0419580419580419</v>
      </c>
      <c r="X5" s="4">
        <f>'Import-dataset'!X8/'Import-dataset'!X7</f>
        <v>1.1693548387096775</v>
      </c>
      <c r="Y5" s="4">
        <f>'Import-dataset'!Y8/'Import-dataset'!Y7</f>
        <v>1.0315789473684212</v>
      </c>
      <c r="Z5" s="4">
        <f>'Import-dataset'!Z8/'Import-dataset'!Z7</f>
        <v>0.59565912254472342</v>
      </c>
      <c r="AA5" s="4">
        <f>'Import-dataset'!AA8/'Import-dataset'!AA7</f>
        <v>0.72906403940886699</v>
      </c>
      <c r="AB5" s="4">
        <f>'Import-dataset'!AB8/'Import-dataset'!AB7</f>
        <v>0.59232995281174228</v>
      </c>
      <c r="AC5" s="4">
        <f>'Import-dataset'!AC8/'Import-dataset'!AC7</f>
        <v>1.0254237288135593</v>
      </c>
      <c r="AD5" s="4">
        <f>'Import-dataset'!AD8/'Import-dataset'!AD7</f>
        <v>1.056551724137931</v>
      </c>
      <c r="AE5" s="4">
        <f>'Import-dataset'!AE8/'Import-dataset'!AE7</f>
        <v>1.0240963855421688</v>
      </c>
      <c r="AF5" s="4">
        <f>'Import-dataset'!AF8/'Import-dataset'!AF7</f>
        <v>1.0829015544041452</v>
      </c>
      <c r="AG5" s="4">
        <f>'Import-dataset'!AG8/'Import-dataset'!AG7</f>
        <v>0.859375</v>
      </c>
      <c r="AH5" s="4">
        <f>'Import-dataset'!AH8/'Import-dataset'!AH7</f>
        <v>1.0730724600309438</v>
      </c>
      <c r="AI5" s="4">
        <f>'Import-dataset'!AI8/'Import-dataset'!AI7</f>
        <v>1.1805309734513274</v>
      </c>
      <c r="AJ5" s="4">
        <f>'Import-dataset'!AJ8/'Import-dataset'!AJ7</f>
        <v>1.0116391852570321</v>
      </c>
      <c r="AK5" s="4">
        <f>'Import-dataset'!AK8/'Import-dataset'!AK7</f>
        <v>1</v>
      </c>
      <c r="AL5" s="4">
        <f>'Import-dataset'!AL8/'Import-dataset'!AL7</f>
        <v>1.0526235509456987</v>
      </c>
      <c r="AM5" s="4">
        <f>'Import-dataset'!AM8/'Import-dataset'!AM7</f>
        <v>1.0271668822768434</v>
      </c>
      <c r="AN5" s="4">
        <f>'Import-dataset'!AN8/'Import-dataset'!AN7</f>
        <v>0.98697674418604653</v>
      </c>
      <c r="AO5" s="4">
        <f>'Import-dataset'!AO8/'Import-dataset'!AO7</f>
        <v>0.96698326549072822</v>
      </c>
      <c r="AP5" s="4">
        <f>'Import-dataset'!AP8/'Import-dataset'!AP7</f>
        <v>1.0305480682839174</v>
      </c>
      <c r="AQ5" s="4">
        <f>'Import-dataset'!AQ8/'Import-dataset'!AQ7</f>
        <v>1.3485436893203884</v>
      </c>
      <c r="AR5" s="4">
        <f>'Import-dataset'!AR8/'Import-dataset'!AR7</f>
        <v>1.0654463234838629</v>
      </c>
      <c r="AS5" s="4">
        <f>'Import-dataset'!AS8/'Import-dataset'!AS7</f>
        <v>0.94405594405594406</v>
      </c>
      <c r="AT5" s="4">
        <f>'Import-dataset'!AT8/'Import-dataset'!AT7</f>
        <v>0.96393210749646396</v>
      </c>
      <c r="AU5" s="4">
        <f>'Import-dataset'!AU8/'Import-dataset'!AU7</f>
        <v>0.9353988134475939</v>
      </c>
      <c r="AV5" s="4">
        <f>'Import-dataset'!AV8/'Import-dataset'!AV7</f>
        <v>0.98141486810551559</v>
      </c>
      <c r="AW5" s="4">
        <f>'Import-dataset'!AW8/'Import-dataset'!AW7</f>
        <v>1.5378195096504956</v>
      </c>
      <c r="AX5" s="4">
        <f>'Import-dataset'!AX8/'Import-dataset'!AX7</f>
        <v>0.94136253041362528</v>
      </c>
      <c r="AY5" s="4">
        <f>'Import-dataset'!AY8/'Import-dataset'!AY7</f>
        <v>0.95811678385814736</v>
      </c>
      <c r="AZ5" s="4">
        <f>'Import-dataset'!AZ8/'Import-dataset'!AZ7</f>
        <v>1.2512178148921365</v>
      </c>
      <c r="BA5" s="4">
        <f>'Import-dataset'!BA8/'Import-dataset'!BA7</f>
        <v>1.0034609802389194</v>
      </c>
      <c r="BB5" s="4">
        <f>'Import-dataset'!BB8/'Import-dataset'!BB7</f>
        <v>0.97128627743620521</v>
      </c>
      <c r="BC5" s="4">
        <f>'Import-dataset'!BC8/'Import-dataset'!BC7</f>
        <v>0.90190174326465922</v>
      </c>
      <c r="BD5" s="4">
        <f>'Import-dataset'!BD8/'Import-dataset'!BD7</f>
        <v>0.99176646706586824</v>
      </c>
      <c r="BE5" s="4">
        <f>'Import-dataset'!BE8/'Import-dataset'!BE7</f>
        <v>0.86921296296296291</v>
      </c>
      <c r="BF5" s="4">
        <f>'Import-dataset'!BF8/'Import-dataset'!BF7</f>
        <v>1.0017256806851591</v>
      </c>
      <c r="BG5" s="4">
        <f>'Import-dataset'!BG8/'Import-dataset'!BG7</f>
        <v>1.0611740649228933</v>
      </c>
      <c r="BH5" s="4">
        <f>'Import-dataset'!BH8/'Import-dataset'!BH7</f>
        <v>0.99660018132366279</v>
      </c>
      <c r="BI5" s="4">
        <f>'Import-dataset'!BI8/'Import-dataset'!BI7</f>
        <v>1.0248696349779383</v>
      </c>
      <c r="BJ5" s="4">
        <f>'Import-dataset'!BJ8/'Import-dataset'!BJ7</f>
        <v>0.89851418763074609</v>
      </c>
      <c r="BK5" s="4">
        <f>'Import-dataset'!BK8/'Import-dataset'!BK7</f>
        <v>0.9885159010600707</v>
      </c>
      <c r="BL5" s="4">
        <f>'Import-dataset'!BL8/'Import-dataset'!BL7</f>
        <v>0.99416947395698363</v>
      </c>
      <c r="BM5" s="4">
        <f>'Import-dataset'!BM8/'Import-dataset'!BM7</f>
        <v>0.99081515499425943</v>
      </c>
      <c r="BN5" s="4">
        <f>'Import-dataset'!BN8/'Import-dataset'!BN7</f>
        <v>1.0483644390929159</v>
      </c>
      <c r="BO5" s="4">
        <f>'Import-dataset'!BO8/'Import-dataset'!BO7</f>
        <v>0.80169671261930009</v>
      </c>
      <c r="BP5" s="4">
        <f>'Import-dataset'!BP8/'Import-dataset'!BP7</f>
        <v>0.99813816756491913</v>
      </c>
      <c r="BQ5" s="4">
        <f>'Import-dataset'!BQ8/'Import-dataset'!BQ7</f>
        <v>0.82176287051482055</v>
      </c>
      <c r="BR5" s="4">
        <f>'Import-dataset'!BR8/'Import-dataset'!BR7</f>
        <v>1.0041418586590733</v>
      </c>
      <c r="BS5" s="4">
        <f>'Import-dataset'!BS8/'Import-dataset'!BS7</f>
        <v>0.90423484119345521</v>
      </c>
      <c r="BT5" s="4">
        <f>'Import-dataset'!BT8/'Import-dataset'!BT7</f>
        <v>1.034097667349501</v>
      </c>
      <c r="BU5" s="4">
        <f>'Import-dataset'!BU8/'Import-dataset'!BU7</f>
        <v>1.0589280952804194</v>
      </c>
      <c r="BV5" s="4">
        <f>'Import-dataset'!BV8/'Import-dataset'!BV7</f>
        <v>0.4</v>
      </c>
      <c r="BW5" s="4">
        <f>'Import-dataset'!BW8/'Import-dataset'!BW7</f>
        <v>1.8181818181818181</v>
      </c>
      <c r="BX5" s="4">
        <f>'Import-dataset'!BX8/'Import-dataset'!BX7</f>
        <v>6</v>
      </c>
      <c r="BY5" s="4">
        <f>'Import-dataset'!BY8/'Import-dataset'!BY7</f>
        <v>1.3597164796219727</v>
      </c>
      <c r="BZ5" s="4">
        <f>'Import-dataset'!BZ8/'Import-dataset'!BZ7</f>
        <v>0.59359494812810099</v>
      </c>
      <c r="CA5" s="4">
        <f>'Import-dataset'!CA8/'Import-dataset'!CA7</f>
        <v>0.95465438027761429</v>
      </c>
    </row>
    <row r="6" spans="1:79" x14ac:dyDescent="0.2">
      <c r="A6" t="s">
        <v>165</v>
      </c>
      <c r="B6" s="4">
        <f>'Import-dataset'!B9/'Import-dataset'!B8</f>
        <v>0.93201567558357468</v>
      </c>
      <c r="C6" s="4">
        <f>'Import-dataset'!C9/'Import-dataset'!C8</f>
        <v>0.99363057324840764</v>
      </c>
      <c r="D6" s="4">
        <f>'Import-dataset'!D9/'Import-dataset'!D8</f>
        <v>1.0674033149171271</v>
      </c>
      <c r="E6" s="4">
        <f>'Import-dataset'!E9/'Import-dataset'!E8</f>
        <v>0.90497168030207675</v>
      </c>
      <c r="F6" s="4">
        <f>'Import-dataset'!F9/'Import-dataset'!F8</f>
        <v>0.99574920297555791</v>
      </c>
      <c r="G6" s="4">
        <f>'Import-dataset'!G9/'Import-dataset'!G8</f>
        <v>0.82710727969348663</v>
      </c>
      <c r="H6" s="4">
        <f>'Import-dataset'!H9/'Import-dataset'!H8</f>
        <v>0.91309945284840688</v>
      </c>
      <c r="I6" s="4">
        <f>'Import-dataset'!I9/'Import-dataset'!I8</f>
        <v>1.0040899795501022</v>
      </c>
      <c r="J6" s="4">
        <f>'Import-dataset'!J9/'Import-dataset'!J8</f>
        <v>0.98007246376811596</v>
      </c>
      <c r="K6" s="4">
        <f>'Import-dataset'!K9/'Import-dataset'!K8</f>
        <v>0.90036900369003692</v>
      </c>
      <c r="L6" s="4">
        <f>'Import-dataset'!L9/'Import-dataset'!L8</f>
        <v>0.92442468619246865</v>
      </c>
      <c r="M6" s="4">
        <f>'Import-dataset'!M9/'Import-dataset'!M8</f>
        <v>0.99251798561151083</v>
      </c>
      <c r="N6" s="4">
        <f>'Import-dataset'!N9/'Import-dataset'!N8</f>
        <v>1.0615087040618956</v>
      </c>
      <c r="O6" s="4">
        <f>'Import-dataset'!O9/'Import-dataset'!O8</f>
        <v>0.79012345679012341</v>
      </c>
      <c r="P6" s="4">
        <f>'Import-dataset'!P9/'Import-dataset'!P8</f>
        <v>1.3039607000307032</v>
      </c>
      <c r="Q6" s="4">
        <f>'Import-dataset'!Q9/'Import-dataset'!Q8</f>
        <v>0.2857142857142857</v>
      </c>
      <c r="R6" s="4">
        <f>'Import-dataset'!R9/'Import-dataset'!R8</f>
        <v>0.72340425531914898</v>
      </c>
      <c r="S6" s="4">
        <f>'Import-dataset'!S9/'Import-dataset'!S8</f>
        <v>1.098360655737705</v>
      </c>
      <c r="T6" s="4">
        <f>'Import-dataset'!T9/'Import-dataset'!T8</f>
        <v>1.3121098626716605</v>
      </c>
      <c r="U6" s="4">
        <f>'Import-dataset'!U9/'Import-dataset'!U8</f>
        <v>1.1708333333333334</v>
      </c>
      <c r="V6" s="4">
        <f>'Import-dataset'!V9/'Import-dataset'!V8</f>
        <v>1.1855670103092784</v>
      </c>
      <c r="W6" s="4">
        <f>'Import-dataset'!W9/'Import-dataset'!W8</f>
        <v>1.4295302013422819</v>
      </c>
      <c r="X6" s="4">
        <f>'Import-dataset'!X9/'Import-dataset'!X8</f>
        <v>1.6379310344827587</v>
      </c>
      <c r="Y6" s="4">
        <f>'Import-dataset'!Y9/'Import-dataset'!Y8</f>
        <v>1.0379008746355685</v>
      </c>
      <c r="Z6" s="4">
        <f>'Import-dataset'!Z9/'Import-dataset'!Z8</f>
        <v>1.4952397438116669</v>
      </c>
      <c r="AA6" s="4">
        <f>'Import-dataset'!AA9/'Import-dataset'!AA8</f>
        <v>1.3513513513513513</v>
      </c>
      <c r="AB6" s="4">
        <f>'Import-dataset'!AB9/'Import-dataset'!AB8</f>
        <v>1.4984154929577465</v>
      </c>
      <c r="AC6" s="4">
        <f>'Import-dataset'!AC9/'Import-dataset'!AC8</f>
        <v>1.28099173553719</v>
      </c>
      <c r="AD6" s="4">
        <f>'Import-dataset'!AD9/'Import-dataset'!AD8</f>
        <v>1.0848563968668408</v>
      </c>
      <c r="AE6" s="4">
        <f>'Import-dataset'!AE9/'Import-dataset'!AE8</f>
        <v>1.0588235294117647</v>
      </c>
      <c r="AF6" s="4">
        <f>'Import-dataset'!AF9/'Import-dataset'!AF8</f>
        <v>1.0845295055821371</v>
      </c>
      <c r="AG6" s="4">
        <f>'Import-dataset'!AG9/'Import-dataset'!AG8</f>
        <v>1.1090909090909091</v>
      </c>
      <c r="AH6" s="4">
        <f>'Import-dataset'!AH9/'Import-dataset'!AH8</f>
        <v>1.1120422937130154</v>
      </c>
      <c r="AI6" s="4">
        <f>'Import-dataset'!AI9/'Import-dataset'!AI8</f>
        <v>1.1435532233883059</v>
      </c>
      <c r="AJ6" s="4">
        <f>'Import-dataset'!AJ9/'Import-dataset'!AJ8</f>
        <v>1.2329817833173538</v>
      </c>
      <c r="AK6" s="4">
        <f>'Import-dataset'!AK9/'Import-dataset'!AK8</f>
        <v>1.0627306273062731</v>
      </c>
      <c r="AL6" s="4">
        <f>'Import-dataset'!AL9/'Import-dataset'!AL8</f>
        <v>1.0701347630778149</v>
      </c>
      <c r="AM6" s="4">
        <f>'Import-dataset'!AM9/'Import-dataset'!AM8</f>
        <v>0.97254408060453401</v>
      </c>
      <c r="AN6" s="4">
        <f>'Import-dataset'!AN9/'Import-dataset'!AN8</f>
        <v>1.5499528746465598</v>
      </c>
      <c r="AO6" s="4">
        <f>'Import-dataset'!AO9/'Import-dataset'!AO8</f>
        <v>1.2521047708138446</v>
      </c>
      <c r="AP6" s="4">
        <f>'Import-dataset'!AP9/'Import-dataset'!AP8</f>
        <v>1.0671316477768091</v>
      </c>
      <c r="AQ6" s="4">
        <f>'Import-dataset'!AQ9/'Import-dataset'!AQ8</f>
        <v>1.0775137988960883</v>
      </c>
      <c r="AR6" s="4">
        <f>'Import-dataset'!AR9/'Import-dataset'!AR8</f>
        <v>1.0749440390709033</v>
      </c>
      <c r="AS6" s="4">
        <f>'Import-dataset'!AS9/'Import-dataset'!AS8</f>
        <v>1.288888888888889</v>
      </c>
      <c r="AT6" s="4">
        <f>'Import-dataset'!AT9/'Import-dataset'!AT8</f>
        <v>1.0635852286622647</v>
      </c>
      <c r="AU6" s="4">
        <f>'Import-dataset'!AU9/'Import-dataset'!AU8</f>
        <v>1.1825229034531359</v>
      </c>
      <c r="AV6" s="4">
        <f>'Import-dataset'!AV9/'Import-dataset'!AV8</f>
        <v>0.98259010384850332</v>
      </c>
      <c r="AW6" s="4">
        <f>'Import-dataset'!AW9/'Import-dataset'!AW8</f>
        <v>0.79579375848032563</v>
      </c>
      <c r="AX6" s="4">
        <f>'Import-dataset'!AX9/'Import-dataset'!AX8</f>
        <v>1.1064874644611011</v>
      </c>
      <c r="AY6" s="4">
        <f>'Import-dataset'!AY9/'Import-dataset'!AY8</f>
        <v>1.2922782386726228</v>
      </c>
      <c r="AZ6" s="4">
        <f>'Import-dataset'!AZ9/'Import-dataset'!AZ8</f>
        <v>1.1279199110122358</v>
      </c>
      <c r="BA6" s="4">
        <f>'Import-dataset'!BA9/'Import-dataset'!BA8</f>
        <v>1.1658878504672898</v>
      </c>
      <c r="BB6" s="4">
        <f>'Import-dataset'!BB9/'Import-dataset'!BB8</f>
        <v>1.1307684599068026</v>
      </c>
      <c r="BC6" s="4">
        <f>'Import-dataset'!BC9/'Import-dataset'!BC8</f>
        <v>0.94043226146547176</v>
      </c>
      <c r="BD6" s="4">
        <f>'Import-dataset'!BD9/'Import-dataset'!BD8</f>
        <v>1.223679245283019</v>
      </c>
      <c r="BE6" s="4">
        <f>'Import-dataset'!BE9/'Import-dataset'!BE8</f>
        <v>1.292942743009321</v>
      </c>
      <c r="BF6" s="4">
        <f>'Import-dataset'!BF9/'Import-dataset'!BF8</f>
        <v>1.0805206405921011</v>
      </c>
      <c r="BG6" s="4">
        <f>'Import-dataset'!BG9/'Import-dataset'!BG8</f>
        <v>1.0601364913689282</v>
      </c>
      <c r="BH6" s="4">
        <f>'Import-dataset'!BH9/'Import-dataset'!BH8</f>
        <v>1.0053445531043894</v>
      </c>
      <c r="BI6" s="4">
        <f>'Import-dataset'!BI9/'Import-dataset'!BI8</f>
        <v>1.098909700866648</v>
      </c>
      <c r="BJ6" s="4">
        <f>'Import-dataset'!BJ9/'Import-dataset'!BJ8</f>
        <v>1.2798041907945794</v>
      </c>
      <c r="BK6" s="4">
        <f>'Import-dataset'!BK9/'Import-dataset'!BK8</f>
        <v>1.0293118856121537</v>
      </c>
      <c r="BL6" s="4">
        <f>'Import-dataset'!BL9/'Import-dataset'!BL8</f>
        <v>1.0889048177592424</v>
      </c>
      <c r="BM6" s="4">
        <f>'Import-dataset'!BM9/'Import-dataset'!BM8</f>
        <v>1.13441483198146</v>
      </c>
      <c r="BN6" s="4">
        <f>'Import-dataset'!BN9/'Import-dataset'!BN8</f>
        <v>1.0809724349157734</v>
      </c>
      <c r="BO6" s="4">
        <f>'Import-dataset'!BO9/'Import-dataset'!BO8</f>
        <v>1.0793650793650793</v>
      </c>
      <c r="BP6" s="4">
        <f>'Import-dataset'!BP9/'Import-dataset'!BP8</f>
        <v>1.0783428234832122</v>
      </c>
      <c r="BQ6" s="4">
        <f>'Import-dataset'!BQ9/'Import-dataset'!BQ8</f>
        <v>1.144280968201234</v>
      </c>
      <c r="BR6" s="4">
        <f>'Import-dataset'!BR9/'Import-dataset'!BR8</f>
        <v>1.0537509667440061</v>
      </c>
      <c r="BS6" s="4">
        <f>'Import-dataset'!BS9/'Import-dataset'!BS8</f>
        <v>1.1000532197977648</v>
      </c>
      <c r="BT6" s="4">
        <f>'Import-dataset'!BT9/'Import-dataset'!BT8</f>
        <v>1.1029458751357915</v>
      </c>
      <c r="BU6" s="4">
        <f>'Import-dataset'!BU9/'Import-dataset'!BU8</f>
        <v>0.94099378881987583</v>
      </c>
      <c r="BV6" s="4">
        <f>'Import-dataset'!BV9/'Import-dataset'!BV8</f>
        <v>2</v>
      </c>
      <c r="BW6" s="4">
        <f>'Import-dataset'!BW9/'Import-dataset'!BW8</f>
        <v>0.93333333333333335</v>
      </c>
      <c r="BX6" s="4">
        <f>'Import-dataset'!BX9/'Import-dataset'!BX8</f>
        <v>0.91666666666666663</v>
      </c>
      <c r="BY6" s="4">
        <f>'Import-dataset'!BY9/'Import-dataset'!BY8</f>
        <v>0.70862293657688968</v>
      </c>
      <c r="BZ6" s="4">
        <f>'Import-dataset'!BZ9/'Import-dataset'!BZ8</f>
        <v>1.753419452887538</v>
      </c>
      <c r="CA6" s="4">
        <f>'Import-dataset'!CA9/'Import-dataset'!CA8</f>
        <v>1.1247637115424569</v>
      </c>
    </row>
    <row r="7" spans="1:79" x14ac:dyDescent="0.2">
      <c r="A7" t="s">
        <v>166</v>
      </c>
      <c r="B7" s="4">
        <f>'Import-dataset'!B10/'Import-dataset'!B9</f>
        <v>1.1893967093235831</v>
      </c>
      <c r="C7" s="4">
        <f>'Import-dataset'!C10/'Import-dataset'!C9</f>
        <v>1.0705128205128205</v>
      </c>
      <c r="D7" s="4">
        <f>'Import-dataset'!D10/'Import-dataset'!D9</f>
        <v>1.1076604554865424</v>
      </c>
      <c r="E7" s="4">
        <f>'Import-dataset'!E10/'Import-dataset'!E9</f>
        <v>1.2579972183588317</v>
      </c>
      <c r="F7" s="4">
        <f>'Import-dataset'!F10/'Import-dataset'!F9</f>
        <v>1.3068303094983991</v>
      </c>
      <c r="G7" s="4">
        <f>'Import-dataset'!G10/'Import-dataset'!G9</f>
        <v>1.1644470179502027</v>
      </c>
      <c r="H7" s="4">
        <f>'Import-dataset'!H10/'Import-dataset'!H9</f>
        <v>1.1149101163200563</v>
      </c>
      <c r="I7" s="4">
        <f>'Import-dataset'!I10/'Import-dataset'!I9</f>
        <v>1.1507128309572301</v>
      </c>
      <c r="J7" s="4">
        <f>'Import-dataset'!J10/'Import-dataset'!J9</f>
        <v>1.1857670979667283</v>
      </c>
      <c r="K7" s="4">
        <f>'Import-dataset'!K10/'Import-dataset'!K9</f>
        <v>1.360655737704918</v>
      </c>
      <c r="L7" s="4">
        <f>'Import-dataset'!L10/'Import-dataset'!L9</f>
        <v>1.1493635077793494</v>
      </c>
      <c r="M7" s="4">
        <f>'Import-dataset'!M10/'Import-dataset'!M9</f>
        <v>1.1162655842273124</v>
      </c>
      <c r="N7" s="4">
        <f>'Import-dataset'!N10/'Import-dataset'!N9</f>
        <v>1.1552478134110786</v>
      </c>
      <c r="O7" s="4">
        <f>'Import-dataset'!O10/'Import-dataset'!O9</f>
        <v>0.96875</v>
      </c>
      <c r="P7" s="4">
        <f>'Import-dataset'!P10/'Import-dataset'!P9</f>
        <v>1.0955968919237109</v>
      </c>
      <c r="Q7" s="4">
        <f>'Import-dataset'!Q10/'Import-dataset'!Q9</f>
        <v>2</v>
      </c>
      <c r="R7" s="4">
        <f>'Import-dataset'!R10/'Import-dataset'!R9</f>
        <v>1.3235294117647058</v>
      </c>
      <c r="S7" s="4">
        <f>'Import-dataset'!S10/'Import-dataset'!S9</f>
        <v>1.1044776119402986</v>
      </c>
      <c r="T7" s="4">
        <f>'Import-dataset'!T10/'Import-dataset'!T9</f>
        <v>1.373929590865842</v>
      </c>
      <c r="U7" s="4">
        <f>'Import-dataset'!U10/'Import-dataset'!U9</f>
        <v>1.2989323843416369</v>
      </c>
      <c r="V7" s="4">
        <f>'Import-dataset'!V10/'Import-dataset'!V9</f>
        <v>1.0869565217391304</v>
      </c>
      <c r="W7" s="4">
        <f>'Import-dataset'!W10/'Import-dataset'!W9</f>
        <v>1.4178403755868545</v>
      </c>
      <c r="X7" s="4">
        <f>'Import-dataset'!X10/'Import-dataset'!X9</f>
        <v>0.66315789473684206</v>
      </c>
      <c r="Y7" s="4">
        <f>'Import-dataset'!Y10/'Import-dataset'!Y9</f>
        <v>1.2373595505617978</v>
      </c>
      <c r="Z7" s="4">
        <f>'Import-dataset'!Z10/'Import-dataset'!Z9</f>
        <v>1.9045496642741375</v>
      </c>
      <c r="AA7" s="4">
        <f>'Import-dataset'!AA10/'Import-dataset'!AA9</f>
        <v>1.875</v>
      </c>
      <c r="AB7" s="4">
        <f>'Import-dataset'!AB10/'Import-dataset'!AB9</f>
        <v>1.9117025026436376</v>
      </c>
      <c r="AC7" s="4">
        <f>'Import-dataset'!AC10/'Import-dataset'!AC9</f>
        <v>1.1354838709677419</v>
      </c>
      <c r="AD7" s="4">
        <f>'Import-dataset'!AD10/'Import-dataset'!AD9</f>
        <v>1.3164861612515042</v>
      </c>
      <c r="AE7" s="4">
        <f>'Import-dataset'!AE10/'Import-dataset'!AE9</f>
        <v>1.4222222222222223</v>
      </c>
      <c r="AF7" s="4">
        <f>'Import-dataset'!AF10/'Import-dataset'!AF9</f>
        <v>1.3058823529411765</v>
      </c>
      <c r="AG7" s="4">
        <f>'Import-dataset'!AG10/'Import-dataset'!AG9</f>
        <v>1.2459016393442623</v>
      </c>
      <c r="AH7" s="4">
        <f>'Import-dataset'!AH10/'Import-dataset'!AH9</f>
        <v>1.3882120958374977</v>
      </c>
      <c r="AI7" s="4">
        <f>'Import-dataset'!AI10/'Import-dataset'!AI9</f>
        <v>1.2307440183546379</v>
      </c>
      <c r="AJ7" s="4">
        <f>'Import-dataset'!AJ10/'Import-dataset'!AJ9</f>
        <v>2.644634525660964</v>
      </c>
      <c r="AK7" s="4">
        <f>'Import-dataset'!AK10/'Import-dataset'!AK9</f>
        <v>1.0998263888888888</v>
      </c>
      <c r="AL7" s="4">
        <f>'Import-dataset'!AL10/'Import-dataset'!AL9</f>
        <v>1.2935680433310766</v>
      </c>
      <c r="AM7" s="4">
        <f>'Import-dataset'!AM10/'Import-dataset'!AM9</f>
        <v>1.2061642061642062</v>
      </c>
      <c r="AN7" s="4">
        <f>'Import-dataset'!AN10/'Import-dataset'!AN9</f>
        <v>1.7348738218303437</v>
      </c>
      <c r="AO7" s="4">
        <f>'Import-dataset'!AO10/'Import-dataset'!AO9</f>
        <v>1.1759432200224131</v>
      </c>
      <c r="AP7" s="4">
        <f>'Import-dataset'!AP10/'Import-dataset'!AP9</f>
        <v>1.1707516339869282</v>
      </c>
      <c r="AQ7" s="4">
        <f>'Import-dataset'!AQ10/'Import-dataset'!AQ9</f>
        <v>1.666815144766147</v>
      </c>
      <c r="AR7" s="4">
        <f>'Import-dataset'!AR10/'Import-dataset'!AR9</f>
        <v>1.1904967953051897</v>
      </c>
      <c r="AS7" s="4">
        <f>'Import-dataset'!AS10/'Import-dataset'!AS9</f>
        <v>1.1609195402298851</v>
      </c>
      <c r="AT7" s="4">
        <f>'Import-dataset'!AT10/'Import-dataset'!AT9</f>
        <v>1.177971947574155</v>
      </c>
      <c r="AU7" s="4">
        <f>'Import-dataset'!AU10/'Import-dataset'!AU9</f>
        <v>1.2187127532777116</v>
      </c>
      <c r="AV7" s="4">
        <f>'Import-dataset'!AV10/'Import-dataset'!AV9</f>
        <v>1.1818464407833384</v>
      </c>
      <c r="AW7" s="4">
        <f>'Import-dataset'!AW10/'Import-dataset'!AW9</f>
        <v>1.1344842284739982</v>
      </c>
      <c r="AX7" s="4">
        <f>'Import-dataset'!AX10/'Import-dataset'!AX9</f>
        <v>1.12940901658491</v>
      </c>
      <c r="AY7" s="4">
        <f>'Import-dataset'!AY10/'Import-dataset'!AY9</f>
        <v>1.2874074074074073</v>
      </c>
      <c r="AZ7" s="4">
        <f>'Import-dataset'!AZ10/'Import-dataset'!AZ9</f>
        <v>1.2384122287968442</v>
      </c>
      <c r="BA7" s="4">
        <f>'Import-dataset'!BA10/'Import-dataset'!BA9</f>
        <v>1.1880904666475809</v>
      </c>
      <c r="BB7" s="4">
        <f>'Import-dataset'!BB10/'Import-dataset'!BB9</f>
        <v>1.1587459842694139</v>
      </c>
      <c r="BC7" s="4">
        <f>'Import-dataset'!BC10/'Import-dataset'!BC9</f>
        <v>1.1677877428998504</v>
      </c>
      <c r="BD7" s="4">
        <f>'Import-dataset'!BD10/'Import-dataset'!BD9</f>
        <v>1.218872870249017</v>
      </c>
      <c r="BE7" s="4">
        <f>'Import-dataset'!BE10/'Import-dataset'!BE9</f>
        <v>1.1277033985581875</v>
      </c>
      <c r="BF7" s="4">
        <f>'Import-dataset'!BF10/'Import-dataset'!BF9</f>
        <v>1.1736049601417184</v>
      </c>
      <c r="BG7" s="4">
        <f>'Import-dataset'!BG10/'Import-dataset'!BG9</f>
        <v>1.1153438352014542</v>
      </c>
      <c r="BH7" s="4">
        <f>'Import-dataset'!BH10/'Import-dataset'!BH9</f>
        <v>1.1503789164121705</v>
      </c>
      <c r="BI7" s="4">
        <f>'Import-dataset'!BI10/'Import-dataset'!BI9</f>
        <v>1.1854584308537701</v>
      </c>
      <c r="BJ7" s="4">
        <f>'Import-dataset'!BJ10/'Import-dataset'!BJ9</f>
        <v>1.167319712659763</v>
      </c>
      <c r="BK7" s="4">
        <f>'Import-dataset'!BK10/'Import-dataset'!BK9</f>
        <v>0.94703941656537594</v>
      </c>
      <c r="BL7" s="4">
        <f>'Import-dataset'!BL10/'Import-dataset'!BL9</f>
        <v>1.1465161277453073</v>
      </c>
      <c r="BM7" s="4">
        <f>'Import-dataset'!BM10/'Import-dataset'!BM9</f>
        <v>1.0909090909090908</v>
      </c>
      <c r="BN7" s="4">
        <f>'Import-dataset'!BN10/'Import-dataset'!BN9</f>
        <v>1.1096157251638037</v>
      </c>
      <c r="BO7" s="4">
        <f>'Import-dataset'!BO10/'Import-dataset'!BO9</f>
        <v>1.3498774509803921</v>
      </c>
      <c r="BP7" s="4">
        <f>'Import-dataset'!BP10/'Import-dataset'!BP9</f>
        <v>1.1679715950473415</v>
      </c>
      <c r="BQ7" s="4">
        <f>'Import-dataset'!BQ10/'Import-dataset'!BQ9</f>
        <v>1.287432600580672</v>
      </c>
      <c r="BR7" s="4">
        <f>'Import-dataset'!BR10/'Import-dataset'!BR9</f>
        <v>1.1136391437308868</v>
      </c>
      <c r="BS7" s="4">
        <f>'Import-dataset'!BS10/'Import-dataset'!BS9</f>
        <v>1.2002902757619738</v>
      </c>
      <c r="BT7" s="4">
        <f>'Import-dataset'!BT10/'Import-dataset'!BT9</f>
        <v>1.1212050984936268</v>
      </c>
      <c r="BU7" s="4">
        <f>'Import-dataset'!BU10/'Import-dataset'!BU9</f>
        <v>1.0964231558290964</v>
      </c>
      <c r="BV7" s="4">
        <f>'Import-dataset'!BV10/'Import-dataset'!BV9</f>
        <v>0.75</v>
      </c>
      <c r="BW7" s="4">
        <f>'Import-dataset'!BW10/'Import-dataset'!BW9</f>
        <v>1.4285714285714286</v>
      </c>
      <c r="BX7" s="4">
        <f>'Import-dataset'!BX10/'Import-dataset'!BX9</f>
        <v>1.5454545454545454</v>
      </c>
      <c r="BY7" s="4">
        <f>'Import-dataset'!BY10/'Import-dataset'!BY9</f>
        <v>1.0665134099616858</v>
      </c>
      <c r="BZ7" s="4">
        <f>'Import-dataset'!BZ10/'Import-dataset'!BZ9</f>
        <v>1.1330444203683641</v>
      </c>
      <c r="CA7" s="4">
        <f>'Import-dataset'!CA10/'Import-dataset'!CA9</f>
        <v>1.262747021808778</v>
      </c>
    </row>
    <row r="8" spans="1:79" x14ac:dyDescent="0.2">
      <c r="A8" t="s">
        <v>167</v>
      </c>
      <c r="B8" s="4">
        <f>'Import-dataset'!B11/'Import-dataset'!B10</f>
        <v>1.008504969771493</v>
      </c>
      <c r="C8" s="4">
        <f>'Import-dataset'!C11/'Import-dataset'!C10</f>
        <v>1.2694610778443114</v>
      </c>
      <c r="D8" s="4">
        <f>'Import-dataset'!D11/'Import-dataset'!D10</f>
        <v>0.96728971962616828</v>
      </c>
      <c r="E8" s="4">
        <f>'Import-dataset'!E11/'Import-dataset'!E10</f>
        <v>1.1243781094527363</v>
      </c>
      <c r="F8" s="4">
        <f>'Import-dataset'!F11/'Import-dataset'!F10</f>
        <v>0.91057574520212337</v>
      </c>
      <c r="G8" s="4">
        <f>'Import-dataset'!G11/'Import-dataset'!G10</f>
        <v>1.0621581302834411</v>
      </c>
      <c r="H8" s="4">
        <f>'Import-dataset'!H11/'Import-dataset'!H10</f>
        <v>1.0641795763515649</v>
      </c>
      <c r="I8" s="4">
        <f>'Import-dataset'!I11/'Import-dataset'!I10</f>
        <v>1.0814159292035399</v>
      </c>
      <c r="J8" s="4">
        <f>'Import-dataset'!J11/'Import-dataset'!J10</f>
        <v>1.0062353858144972</v>
      </c>
      <c r="K8" s="4">
        <f>'Import-dataset'!K11/'Import-dataset'!K10</f>
        <v>0.86626506024096384</v>
      </c>
      <c r="L8" s="4">
        <f>'Import-dataset'!L11/'Import-dataset'!L10</f>
        <v>0.99310854048732466</v>
      </c>
      <c r="M8" s="4">
        <f>'Import-dataset'!M11/'Import-dataset'!M10</f>
        <v>0.91376623376623378</v>
      </c>
      <c r="N8" s="4">
        <f>'Import-dataset'!N11/'Import-dataset'!N10</f>
        <v>0.92365930599369084</v>
      </c>
      <c r="O8" s="4">
        <f>'Import-dataset'!O11/'Import-dataset'!O10</f>
        <v>0.8621700879765396</v>
      </c>
      <c r="P8" s="4">
        <f>'Import-dataset'!P11/'Import-dataset'!P10</f>
        <v>0.84483129163980231</v>
      </c>
      <c r="Q8" s="4">
        <f>'Import-dataset'!Q11/'Import-dataset'!Q10</f>
        <v>0.5</v>
      </c>
      <c r="R8" s="4">
        <f>'Import-dataset'!R11/'Import-dataset'!R10</f>
        <v>0.88888888888888884</v>
      </c>
      <c r="S8" s="4">
        <f>'Import-dataset'!S11/'Import-dataset'!S10</f>
        <v>0.8783783783783784</v>
      </c>
      <c r="T8" s="4">
        <f>'Import-dataset'!T11/'Import-dataset'!T10</f>
        <v>0.58240997229916902</v>
      </c>
      <c r="U8" s="4">
        <f>'Import-dataset'!U11/'Import-dataset'!U10</f>
        <v>0.76712328767123283</v>
      </c>
      <c r="V8" s="4">
        <f>'Import-dataset'!V11/'Import-dataset'!V10</f>
        <v>0.95199999999999996</v>
      </c>
      <c r="W8" s="4">
        <f>'Import-dataset'!W11/'Import-dataset'!W10</f>
        <v>0.79139072847682124</v>
      </c>
      <c r="X8" s="4">
        <f>'Import-dataset'!X11/'Import-dataset'!X10</f>
        <v>1.0783068783068783</v>
      </c>
      <c r="Y8" s="4">
        <f>'Import-dataset'!Y11/'Import-dataset'!Y10</f>
        <v>1.0692395005675368</v>
      </c>
      <c r="Z8" s="4">
        <f>'Import-dataset'!Z11/'Import-dataset'!Z10</f>
        <v>0.92166367808406524</v>
      </c>
      <c r="AA8" s="4">
        <f>'Import-dataset'!AA11/'Import-dataset'!AA10</f>
        <v>0.81599999999999995</v>
      </c>
      <c r="AB8" s="4">
        <f>'Import-dataset'!AB11/'Import-dataset'!AB10</f>
        <v>0.92278971144095145</v>
      </c>
      <c r="AC8" s="4">
        <f>'Import-dataset'!AC11/'Import-dataset'!AC10</f>
        <v>0.83238636363636365</v>
      </c>
      <c r="AD8" s="4">
        <f>'Import-dataset'!AD11/'Import-dataset'!AD10</f>
        <v>0.90310786106032903</v>
      </c>
      <c r="AE8" s="4">
        <f>'Import-dataset'!AE11/'Import-dataset'!AE10</f>
        <v>1.2578125</v>
      </c>
      <c r="AF8" s="4">
        <f>'Import-dataset'!AF11/'Import-dataset'!AF10</f>
        <v>0.84459459459459463</v>
      </c>
      <c r="AG8" s="4">
        <f>'Import-dataset'!AG11/'Import-dataset'!AG10</f>
        <v>1.0263157894736843</v>
      </c>
      <c r="AH8" s="4">
        <f>'Import-dataset'!AH11/'Import-dataset'!AH10</f>
        <v>0.83340143599322869</v>
      </c>
      <c r="AI8" s="4">
        <f>'Import-dataset'!AI11/'Import-dataset'!AI10</f>
        <v>0.72436750998668442</v>
      </c>
      <c r="AJ8" s="4">
        <f>'Import-dataset'!AJ11/'Import-dataset'!AJ10</f>
        <v>0.83210820346956782</v>
      </c>
      <c r="AK8" s="4">
        <f>'Import-dataset'!AK11/'Import-dataset'!AK10</f>
        <v>0.90607734806629836</v>
      </c>
      <c r="AL8" s="4">
        <f>'Import-dataset'!AL11/'Import-dataset'!AL10</f>
        <v>0.88977284622631636</v>
      </c>
      <c r="AM8" s="4">
        <f>'Import-dataset'!AM11/'Import-dataset'!AM10</f>
        <v>1.1097272922482284</v>
      </c>
      <c r="AN8" s="4">
        <f>'Import-dataset'!AN11/'Import-dataset'!AN10</f>
        <v>0.62407991587802314</v>
      </c>
      <c r="AO8" s="4">
        <f>'Import-dataset'!AO11/'Import-dataset'!AO10</f>
        <v>0.86658195679796701</v>
      </c>
      <c r="AP8" s="4">
        <f>'Import-dataset'!AP11/'Import-dataset'!AP10</f>
        <v>0.94312630844382417</v>
      </c>
      <c r="AQ8" s="4">
        <f>'Import-dataset'!AQ11/'Import-dataset'!AQ10</f>
        <v>0.664484233030465</v>
      </c>
      <c r="AR8" s="4">
        <f>'Import-dataset'!AR11/'Import-dataset'!AR10</f>
        <v>0.92319574748415534</v>
      </c>
      <c r="AS8" s="4">
        <f>'Import-dataset'!AS11/'Import-dataset'!AS10</f>
        <v>0.87128712871287128</v>
      </c>
      <c r="AT8" s="4">
        <f>'Import-dataset'!AT11/'Import-dataset'!AT10</f>
        <v>1.0128830763224672</v>
      </c>
      <c r="AU8" s="4">
        <f>'Import-dataset'!AU11/'Import-dataset'!AU10</f>
        <v>0.84743276283618585</v>
      </c>
      <c r="AV8" s="4">
        <f>'Import-dataset'!AV11/'Import-dataset'!AV10</f>
        <v>1.0065754865860073</v>
      </c>
      <c r="AW8" s="4">
        <f>'Import-dataset'!AW11/'Import-dataset'!AW10</f>
        <v>0.80349427014841257</v>
      </c>
      <c r="AX8" s="4">
        <f>'Import-dataset'!AX11/'Import-dataset'!AX10</f>
        <v>0.95243019648397109</v>
      </c>
      <c r="AY8" s="4">
        <f>'Import-dataset'!AY11/'Import-dataset'!AY10</f>
        <v>0.91024165707710014</v>
      </c>
      <c r="AZ8" s="4">
        <f>'Import-dataset'!AZ11/'Import-dataset'!AZ10</f>
        <v>0.8309775034839737</v>
      </c>
      <c r="BA8" s="4">
        <f>'Import-dataset'!BA11/'Import-dataset'!BA10</f>
        <v>0.95718875502008027</v>
      </c>
      <c r="BB8" s="4">
        <f>'Import-dataset'!BB11/'Import-dataset'!BB10</f>
        <v>1.1048757170172083</v>
      </c>
      <c r="BC8" s="4">
        <f>'Import-dataset'!BC11/'Import-dataset'!BC10</f>
        <v>1.1788799999999999</v>
      </c>
      <c r="BD8" s="4">
        <f>'Import-dataset'!BD11/'Import-dataset'!BD10</f>
        <v>1.1588235294117648</v>
      </c>
      <c r="BE8" s="4">
        <f>'Import-dataset'!BE11/'Import-dataset'!BE10</f>
        <v>1.069406392694064</v>
      </c>
      <c r="BF8" s="4">
        <f>'Import-dataset'!BF11/'Import-dataset'!BF10</f>
        <v>1.0491572327044025</v>
      </c>
      <c r="BG8" s="4">
        <f>'Import-dataset'!BG11/'Import-dataset'!BG10</f>
        <v>0.85088612752088</v>
      </c>
      <c r="BH8" s="4">
        <f>'Import-dataset'!BH11/'Import-dataset'!BH10</f>
        <v>0.9932648345705718</v>
      </c>
      <c r="BI8" s="4">
        <f>'Import-dataset'!BI11/'Import-dataset'!BI10</f>
        <v>1.0296150049358341</v>
      </c>
      <c r="BJ8" s="4">
        <f>'Import-dataset'!BJ11/'Import-dataset'!BJ10</f>
        <v>1.2571828171828172</v>
      </c>
      <c r="BK8" s="4">
        <f>'Import-dataset'!BK11/'Import-dataset'!BK10</f>
        <v>1.0991932526585992</v>
      </c>
      <c r="BL8" s="4">
        <f>'Import-dataset'!BL11/'Import-dataset'!BL10</f>
        <v>0.96906534901524111</v>
      </c>
      <c r="BM8" s="4">
        <f>'Import-dataset'!BM11/'Import-dataset'!BM10</f>
        <v>0.91760299625468167</v>
      </c>
      <c r="BN8" s="4">
        <f>'Import-dataset'!BN11/'Import-dataset'!BN10</f>
        <v>0.85157995531439512</v>
      </c>
      <c r="BO8" s="4">
        <f>'Import-dataset'!BO11/'Import-dataset'!BO10</f>
        <v>1.0208806173399909</v>
      </c>
      <c r="BP8" s="4">
        <f>'Import-dataset'!BP11/'Import-dataset'!BP10</f>
        <v>0.94824226362148256</v>
      </c>
      <c r="BQ8" s="4">
        <f>'Import-dataset'!BQ11/'Import-dataset'!BQ10</f>
        <v>0.92976804123711343</v>
      </c>
      <c r="BR8" s="4">
        <f>'Import-dataset'!BR11/'Import-dataset'!BR10</f>
        <v>1.0995166959578206</v>
      </c>
      <c r="BS8" s="4">
        <f>'Import-dataset'!BS11/'Import-dataset'!BS10</f>
        <v>1.0483675937122128</v>
      </c>
      <c r="BT8" s="4">
        <f>'Import-dataset'!BT11/'Import-dataset'!BT10</f>
        <v>0.9556634973129392</v>
      </c>
      <c r="BU8" s="4">
        <f>'Import-dataset'!BU11/'Import-dataset'!BU10</f>
        <v>1.0230231044581841</v>
      </c>
      <c r="BV8" s="4">
        <f>'Import-dataset'!BV11/'Import-dataset'!BV10</f>
        <v>2</v>
      </c>
      <c r="BW8" s="4">
        <f>'Import-dataset'!BW11/'Import-dataset'!BW10</f>
        <v>0.82499999999999996</v>
      </c>
      <c r="BX8" s="4">
        <f>'Import-dataset'!BX11/'Import-dataset'!BX10</f>
        <v>1.1176470588235294</v>
      </c>
      <c r="BY8" s="4">
        <f>'Import-dataset'!BY11/'Import-dataset'!BY10</f>
        <v>1.2307802845236384</v>
      </c>
      <c r="BZ8" s="4">
        <f>'Import-dataset'!BZ11/'Import-dataset'!BZ10</f>
        <v>0.74909160451329126</v>
      </c>
      <c r="CA8" s="4">
        <f>'Import-dataset'!CA11/'Import-dataset'!CA10</f>
        <v>0.99248684658586772</v>
      </c>
    </row>
    <row r="9" spans="1:79" x14ac:dyDescent="0.2">
      <c r="A9" t="s">
        <v>247</v>
      </c>
      <c r="B9" s="4">
        <f>'Import-dataset'!B12/'Import-dataset'!B11</f>
        <v>1.1325441983336719</v>
      </c>
      <c r="C9" s="4">
        <f>'Import-dataset'!C12/'Import-dataset'!C11</f>
        <v>0.94811320754716977</v>
      </c>
      <c r="D9" s="4">
        <f>'Import-dataset'!D12/'Import-dataset'!D11</f>
        <v>1.2086956521739129</v>
      </c>
      <c r="E9" s="4">
        <f>'Import-dataset'!E12/'Import-dataset'!E11</f>
        <v>0.95132743362831862</v>
      </c>
      <c r="F9" s="4">
        <f>'Import-dataset'!F12/'Import-dataset'!F11</f>
        <v>1.0784753363228698</v>
      </c>
      <c r="G9" s="4">
        <f>'Import-dataset'!G12/'Import-dataset'!G11</f>
        <v>1.1825842696629214</v>
      </c>
      <c r="H9" s="4">
        <f>'Import-dataset'!H12/'Import-dataset'!H11</f>
        <v>1.1625074272133096</v>
      </c>
      <c r="I9" s="4">
        <f>'Import-dataset'!I12/'Import-dataset'!I11</f>
        <v>1.1260229132569559</v>
      </c>
      <c r="J9" s="4">
        <f>'Import-dataset'!J12/'Import-dataset'!J11</f>
        <v>1.2587141750580946</v>
      </c>
      <c r="K9" s="4">
        <f>'Import-dataset'!K12/'Import-dataset'!K11</f>
        <v>1.1453407510431155</v>
      </c>
      <c r="L9" s="4">
        <f>'Import-dataset'!L12/'Import-dataset'!L11</f>
        <v>1.1095415117719951</v>
      </c>
      <c r="M9" s="4">
        <f>'Import-dataset'!M12/'Import-dataset'!M11</f>
        <v>0.95196134167140423</v>
      </c>
      <c r="N9" s="4">
        <f>'Import-dataset'!N12/'Import-dataset'!N11</f>
        <v>0.99248633879781423</v>
      </c>
      <c r="O9" s="4">
        <f>'Import-dataset'!O12/'Import-dataset'!O11</f>
        <v>0.75</v>
      </c>
      <c r="P9" s="4">
        <f>'Import-dataset'!P12/'Import-dataset'!P11</f>
        <v>1.0478249809208853</v>
      </c>
      <c r="Q9" s="4">
        <f>'Import-dataset'!Q12/'Import-dataset'!Q11</f>
        <v>3</v>
      </c>
      <c r="R9" s="4">
        <f>'Import-dataset'!R12/'Import-dataset'!R11</f>
        <v>1.2583333333333333</v>
      </c>
      <c r="S9" s="4">
        <f>'Import-dataset'!S12/'Import-dataset'!S11</f>
        <v>1.0846153846153845</v>
      </c>
      <c r="T9" s="4">
        <f>'Import-dataset'!T12/'Import-dataset'!T11</f>
        <v>1.0903686087990487</v>
      </c>
      <c r="U9" s="4">
        <f>'Import-dataset'!U12/'Import-dataset'!U11</f>
        <v>0.98571428571428577</v>
      </c>
      <c r="V9" s="4">
        <f>'Import-dataset'!V12/'Import-dataset'!V11</f>
        <v>1.0168067226890756</v>
      </c>
      <c r="W9" s="4">
        <f>'Import-dataset'!W12/'Import-dataset'!W11</f>
        <v>0.75732217573221761</v>
      </c>
      <c r="X9" s="4">
        <f>'Import-dataset'!X12/'Import-dataset'!X11</f>
        <v>1.1216879293424926</v>
      </c>
      <c r="Y9" s="4">
        <f>'Import-dataset'!Y12/'Import-dataset'!Y11</f>
        <v>1.0679405520169851</v>
      </c>
      <c r="Z9" s="4">
        <f>'Import-dataset'!Z12/'Import-dataset'!Z11</f>
        <v>0.93566470462152318</v>
      </c>
      <c r="AA9" s="4">
        <f>'Import-dataset'!AA12/'Import-dataset'!AA11</f>
        <v>0.84967320261437906</v>
      </c>
      <c r="AB9" s="4">
        <f>'Import-dataset'!AB12/'Import-dataset'!AB11</f>
        <v>0.93549461345055529</v>
      </c>
      <c r="AC9" s="4">
        <f>'Import-dataset'!AC12/'Import-dataset'!AC11</f>
        <v>1.0443686006825939</v>
      </c>
      <c r="AD9" s="4">
        <f>'Import-dataset'!AD12/'Import-dataset'!AD11</f>
        <v>1.2722672064777327</v>
      </c>
      <c r="AE9" s="4">
        <f>'Import-dataset'!AE12/'Import-dataset'!AE11</f>
        <v>1.2670807453416149</v>
      </c>
      <c r="AF9" s="4">
        <f>'Import-dataset'!AF12/'Import-dataset'!AF11</f>
        <v>1.2973333333333332</v>
      </c>
      <c r="AG9" s="4">
        <f>'Import-dataset'!AG12/'Import-dataset'!AG11</f>
        <v>1</v>
      </c>
      <c r="AH9" s="4">
        <f>'Import-dataset'!AH12/'Import-dataset'!AH11</f>
        <v>1.051388013354813</v>
      </c>
      <c r="AI9" s="4">
        <f>'Import-dataset'!AI12/'Import-dataset'!AI11</f>
        <v>1.0011029411764707</v>
      </c>
      <c r="AJ9" s="4">
        <f>'Import-dataset'!AJ12/'Import-dataset'!AJ11</f>
        <v>0.94805653710247351</v>
      </c>
      <c r="AK9" s="4">
        <f>'Import-dataset'!AK12/'Import-dataset'!AK11</f>
        <v>1.1019163763066202</v>
      </c>
      <c r="AL9" s="4">
        <f>'Import-dataset'!AL12/'Import-dataset'!AL11</f>
        <v>1.0007058823529411</v>
      </c>
      <c r="AM9" s="4">
        <f>'Import-dataset'!AM12/'Import-dataset'!AM11</f>
        <v>1.0773993808049536</v>
      </c>
      <c r="AN9" s="4">
        <f>'Import-dataset'!AN12/'Import-dataset'!AN11</f>
        <v>1.3063746138725076</v>
      </c>
      <c r="AO9" s="4">
        <f>'Import-dataset'!AO12/'Import-dataset'!AO11</f>
        <v>1.0839442815249267</v>
      </c>
      <c r="AP9" s="4">
        <f>'Import-dataset'!AP12/'Import-dataset'!AP11</f>
        <v>1.0506844247132816</v>
      </c>
      <c r="AQ9" s="4">
        <f>'Import-dataset'!AQ12/'Import-dataset'!AQ11</f>
        <v>1.0731952543736176</v>
      </c>
      <c r="AR9" s="4">
        <f>'Import-dataset'!AR12/'Import-dataset'!AR11</f>
        <v>1.07310531496063</v>
      </c>
      <c r="AS9" s="4">
        <f>'Import-dataset'!AS12/'Import-dataset'!AS11</f>
        <v>0.85795454545454541</v>
      </c>
      <c r="AT9" s="4">
        <f>'Import-dataset'!AT12/'Import-dataset'!AT11</f>
        <v>1.0701483908267488</v>
      </c>
      <c r="AU9" s="4">
        <f>'Import-dataset'!AU12/'Import-dataset'!AU11</f>
        <v>1.0248124639353722</v>
      </c>
      <c r="AV9" s="4">
        <f>'Import-dataset'!AV12/'Import-dataset'!AV11</f>
        <v>1.1000783903841129</v>
      </c>
      <c r="AW9" s="4">
        <f>'Import-dataset'!AW12/'Import-dataset'!AW11</f>
        <v>1.0631283610007014</v>
      </c>
      <c r="AX9" s="4">
        <f>'Import-dataset'!AX12/'Import-dataset'!AX11</f>
        <v>0.96872964169381104</v>
      </c>
      <c r="AY9" s="4">
        <f>'Import-dataset'!AY12/'Import-dataset'!AY11</f>
        <v>1.2541087231352719</v>
      </c>
      <c r="AZ9" s="4">
        <f>'Import-dataset'!AZ12/'Import-dataset'!AZ11</f>
        <v>1.0265931959750838</v>
      </c>
      <c r="BA9" s="4">
        <f>'Import-dataset'!BA12/'Import-dataset'!BA11</f>
        <v>1.0637744398758078</v>
      </c>
      <c r="BB9" s="4">
        <f>'Import-dataset'!BB12/'Import-dataset'!BB11</f>
        <v>1.0422889446511494</v>
      </c>
      <c r="BC9" s="4">
        <f>'Import-dataset'!BC12/'Import-dataset'!BC11</f>
        <v>1.0761400651465798</v>
      </c>
      <c r="BD9" s="4">
        <f>'Import-dataset'!BD12/'Import-dataset'!BD11</f>
        <v>0.83625347961355823</v>
      </c>
      <c r="BE9" s="4">
        <f>'Import-dataset'!BE12/'Import-dataset'!BE11</f>
        <v>0.94022203245089664</v>
      </c>
      <c r="BF9" s="4">
        <f>'Import-dataset'!BF12/'Import-dataset'!BF11</f>
        <v>1.1383560329944369</v>
      </c>
      <c r="BG9" s="4">
        <f>'Import-dataset'!BG12/'Import-dataset'!BG11</f>
        <v>1.1892107573218418</v>
      </c>
      <c r="BH9" s="4">
        <f>'Import-dataset'!BH12/'Import-dataset'!BH11</f>
        <v>0.99703029103147889</v>
      </c>
      <c r="BI9" s="4">
        <f>'Import-dataset'!BI12/'Import-dataset'!BI11</f>
        <v>1.1812080536912752</v>
      </c>
      <c r="BJ9" s="4">
        <f>'Import-dataset'!BJ12/'Import-dataset'!BJ11</f>
        <v>0.98574425479164685</v>
      </c>
      <c r="BK9" s="4">
        <f>'Import-dataset'!BK12/'Import-dataset'!BK11</f>
        <v>1.2001668056713928</v>
      </c>
      <c r="BL9" s="4">
        <f>'Import-dataset'!BL12/'Import-dataset'!BL11</f>
        <v>1.0648497253043196</v>
      </c>
      <c r="BM9" s="4">
        <f>'Import-dataset'!BM12/'Import-dataset'!BM11</f>
        <v>1.0066326530612244</v>
      </c>
      <c r="BN9" s="4">
        <f>'Import-dataset'!BN12/'Import-dataset'!BN11</f>
        <v>1.1233133433283358</v>
      </c>
      <c r="BO9" s="4">
        <f>'Import-dataset'!BO12/'Import-dataset'!BO11</f>
        <v>0.98532681191640725</v>
      </c>
      <c r="BP9" s="4">
        <f>'Import-dataset'!BP12/'Import-dataset'!BP11</f>
        <v>1.0533497739416358</v>
      </c>
      <c r="BQ9" s="4">
        <f>'Import-dataset'!BQ12/'Import-dataset'!BQ11</f>
        <v>1.0214830214830215</v>
      </c>
      <c r="BR9" s="4">
        <f>'Import-dataset'!BR12/'Import-dataset'!BR11</f>
        <v>1.0277722277722279</v>
      </c>
      <c r="BS9" s="4">
        <f>'Import-dataset'!BS12/'Import-dataset'!BS11</f>
        <v>1.0430603613994618</v>
      </c>
      <c r="BT9" s="4">
        <f>'Import-dataset'!BT12/'Import-dataset'!BT11</f>
        <v>1.1010057315886232</v>
      </c>
      <c r="BU9" s="4">
        <f>'Import-dataset'!BU12/'Import-dataset'!BU11</f>
        <v>1.0711729622266402</v>
      </c>
      <c r="BV9" s="4">
        <f>'Import-dataset'!BV12/'Import-dataset'!BV11</f>
        <v>0.16666666666666666</v>
      </c>
      <c r="BW9" s="4">
        <f>'Import-dataset'!BW12/'Import-dataset'!BW11</f>
        <v>0.86363636363636365</v>
      </c>
      <c r="BX9" s="4">
        <f>'Import-dataset'!BX12/'Import-dataset'!BX11</f>
        <v>0.94736842105263153</v>
      </c>
      <c r="BY9" s="4">
        <f>'Import-dataset'!BY12/'Import-dataset'!BY11</f>
        <v>1.1530647985989493</v>
      </c>
      <c r="BZ9" s="4">
        <f>'Import-dataset'!BZ12/'Import-dataset'!BZ11</f>
        <v>0.89685984171559863</v>
      </c>
      <c r="CA9" s="4">
        <f>'Import-dataset'!CA12/'Import-dataset'!CA11</f>
        <v>1.0386692407500924</v>
      </c>
    </row>
    <row r="10" spans="1:79" x14ac:dyDescent="0.2">
      <c r="A10" t="s">
        <v>248</v>
      </c>
      <c r="B10" s="4">
        <f>'Import-dataset'!B13/'Import-dataset'!B12</f>
        <v>1.0996725429507019</v>
      </c>
      <c r="C10" s="4">
        <f>'Import-dataset'!C13/'Import-dataset'!C12</f>
        <v>0.94527363184079605</v>
      </c>
      <c r="D10" s="4">
        <f>'Import-dataset'!D13/'Import-dataset'!D12</f>
        <v>1.0007993605115908</v>
      </c>
      <c r="E10" s="4">
        <f>'Import-dataset'!E13/'Import-dataset'!E12</f>
        <v>1.1860465116279071</v>
      </c>
      <c r="F10" s="4">
        <f>'Import-dataset'!F13/'Import-dataset'!F12</f>
        <v>1.0594594594594595</v>
      </c>
      <c r="G10" s="4">
        <f>'Import-dataset'!G13/'Import-dataset'!G12</f>
        <v>1.0364212193190816</v>
      </c>
      <c r="H10" s="4">
        <f>'Import-dataset'!H13/'Import-dataset'!H12</f>
        <v>1.0575006388959878</v>
      </c>
      <c r="I10" s="4">
        <f>'Import-dataset'!I13/'Import-dataset'!I12</f>
        <v>1.0392441860465116</v>
      </c>
      <c r="J10" s="4">
        <f>'Import-dataset'!J13/'Import-dataset'!J12</f>
        <v>1.3876923076923078</v>
      </c>
      <c r="K10" s="4">
        <f>'Import-dataset'!K13/'Import-dataset'!K12</f>
        <v>0.92167577413479052</v>
      </c>
      <c r="L10" s="4">
        <f>'Import-dataset'!L13/'Import-dataset'!L12</f>
        <v>1.056734420370784</v>
      </c>
      <c r="M10" s="4">
        <f>'Import-dataset'!M13/'Import-dataset'!M12</f>
        <v>1.0086593012839653</v>
      </c>
      <c r="N10" s="4">
        <f>'Import-dataset'!N13/'Import-dataset'!N12</f>
        <v>1.002408809359945</v>
      </c>
      <c r="O10" s="4">
        <f>'Import-dataset'!O13/'Import-dataset'!O12</f>
        <v>1.0498866213151927</v>
      </c>
      <c r="P10" s="4">
        <f>'Import-dataset'!P13/'Import-dataset'!P12</f>
        <v>1.283078417091527</v>
      </c>
      <c r="Q10" s="4">
        <f>'Import-dataset'!Q13/'Import-dataset'!Q12</f>
        <v>1.1666666666666667</v>
      </c>
      <c r="R10" s="4">
        <f>'Import-dataset'!R13/'Import-dataset'!R12</f>
        <v>0.96026490066225167</v>
      </c>
      <c r="S10" s="4">
        <f>'Import-dataset'!S13/'Import-dataset'!S12</f>
        <v>1.0070921985815602</v>
      </c>
      <c r="T10" s="4">
        <f>'Import-dataset'!T13/'Import-dataset'!T12</f>
        <v>1.0392584514721919</v>
      </c>
      <c r="U10" s="4">
        <f>'Import-dataset'!U13/'Import-dataset'!U12</f>
        <v>0.97826086956521741</v>
      </c>
      <c r="V10" s="4">
        <f>'Import-dataset'!V13/'Import-dataset'!V12</f>
        <v>1.0495867768595042</v>
      </c>
      <c r="W10" s="4">
        <f>'Import-dataset'!W13/'Import-dataset'!W12</f>
        <v>1.3287292817679559</v>
      </c>
      <c r="X10" s="4">
        <f>'Import-dataset'!X13/'Import-dataset'!X12</f>
        <v>1.8626421697287838</v>
      </c>
      <c r="Y10" s="4">
        <f>'Import-dataset'!Y13/'Import-dataset'!Y12</f>
        <v>1.0238568588469186</v>
      </c>
      <c r="Z10" s="4">
        <f>'Import-dataset'!Z13/'Import-dataset'!Z12</f>
        <v>0.93848349750656401</v>
      </c>
      <c r="AA10" s="4">
        <f>'Import-dataset'!AA13/'Import-dataset'!AA12</f>
        <v>0.75769230769230766</v>
      </c>
      <c r="AB10" s="4">
        <f>'Import-dataset'!AB13/'Import-dataset'!AB12</f>
        <v>0.93875371553672815</v>
      </c>
      <c r="AC10" s="4">
        <f>'Import-dataset'!AC13/'Import-dataset'!AC12</f>
        <v>1.0359477124183007</v>
      </c>
      <c r="AD10" s="4">
        <f>'Import-dataset'!AD13/'Import-dataset'!AD12</f>
        <v>1.0198886237072395</v>
      </c>
      <c r="AE10" s="4">
        <f>'Import-dataset'!AE13/'Import-dataset'!AE12</f>
        <v>0.66176470588235292</v>
      </c>
      <c r="AF10" s="4">
        <f>'Import-dataset'!AF13/'Import-dataset'!AF12</f>
        <v>1.0811921891058582</v>
      </c>
      <c r="AG10" s="4">
        <f>'Import-dataset'!AG13/'Import-dataset'!AG12</f>
        <v>1.2051282051282051</v>
      </c>
      <c r="AH10" s="4">
        <f>'Import-dataset'!AH13/'Import-dataset'!AH12</f>
        <v>1.0586915970865163</v>
      </c>
      <c r="AI10" s="4">
        <f>'Import-dataset'!AI13/'Import-dataset'!AI12</f>
        <v>1.0308483290488433</v>
      </c>
      <c r="AJ10" s="4">
        <f>'Import-dataset'!AJ13/'Import-dataset'!AJ12</f>
        <v>1.076407007081625</v>
      </c>
      <c r="AK10" s="4">
        <f>'Import-dataset'!AK13/'Import-dataset'!AK12</f>
        <v>0.97549407114624509</v>
      </c>
      <c r="AL10" s="4">
        <f>'Import-dataset'!AL13/'Import-dataset'!AL12</f>
        <v>1.0868798495179872</v>
      </c>
      <c r="AM10" s="4">
        <f>'Import-dataset'!AM13/'Import-dataset'!AM12</f>
        <v>1.0492097701149425</v>
      </c>
      <c r="AN10" s="4">
        <f>'Import-dataset'!AN13/'Import-dataset'!AN12</f>
        <v>1.098237317282889</v>
      </c>
      <c r="AO10" s="4">
        <f>'Import-dataset'!AO13/'Import-dataset'!AO12</f>
        <v>0.94521474467365574</v>
      </c>
      <c r="AP10" s="4">
        <f>'Import-dataset'!AP13/'Import-dataset'!AP12</f>
        <v>1.0577464788732394</v>
      </c>
      <c r="AQ10" s="4">
        <f>'Import-dataset'!AQ13/'Import-dataset'!AQ12</f>
        <v>1.0312909874461307</v>
      </c>
      <c r="AR10" s="4">
        <f>'Import-dataset'!AR13/'Import-dataset'!AR12</f>
        <v>1.0518447180757149</v>
      </c>
      <c r="AS10" s="4">
        <f>'Import-dataset'!AS13/'Import-dataset'!AS12</f>
        <v>0.99337748344370858</v>
      </c>
      <c r="AT10" s="4">
        <f>'Import-dataset'!AT13/'Import-dataset'!AT12</f>
        <v>1.0347559877543671</v>
      </c>
      <c r="AU10" s="4">
        <f>'Import-dataset'!AU13/'Import-dataset'!AU12</f>
        <v>1.0579954954954955</v>
      </c>
      <c r="AV10" s="4">
        <f>'Import-dataset'!AV13/'Import-dataset'!AV12</f>
        <v>0.97790973871733966</v>
      </c>
      <c r="AW10" s="4">
        <f>'Import-dataset'!AW13/'Import-dataset'!AW12</f>
        <v>1.0400263910270509</v>
      </c>
      <c r="AX10" s="4">
        <f>'Import-dataset'!AX13/'Import-dataset'!AX12</f>
        <v>1.047074646940148</v>
      </c>
      <c r="AY10" s="4">
        <f>'Import-dataset'!AY13/'Import-dataset'!AY12</f>
        <v>0.90120967741935487</v>
      </c>
      <c r="AZ10" s="4">
        <f>'Import-dataset'!AZ13/'Import-dataset'!AZ12</f>
        <v>1.3029171528588097</v>
      </c>
      <c r="BA10" s="4">
        <f>'Import-dataset'!BA13/'Import-dataset'!BA12</f>
        <v>1.0760432278930345</v>
      </c>
      <c r="BB10" s="4">
        <f>'Import-dataset'!BB13/'Import-dataset'!BB12</f>
        <v>1.0568389360548134</v>
      </c>
      <c r="BC10" s="4">
        <f>'Import-dataset'!BC13/'Import-dataset'!BC12</f>
        <v>1.1203178206583428</v>
      </c>
      <c r="BD10" s="4">
        <f>'Import-dataset'!BD13/'Import-dataset'!BD12</f>
        <v>0.95574701390248673</v>
      </c>
      <c r="BE10" s="4">
        <f>'Import-dataset'!BE13/'Import-dataset'!BE12</f>
        <v>0.96094459582198</v>
      </c>
      <c r="BF10" s="4">
        <f>'Import-dataset'!BF13/'Import-dataset'!BF12</f>
        <v>0.99578716771285336</v>
      </c>
      <c r="BG10" s="4">
        <f>'Import-dataset'!BG13/'Import-dataset'!BG12</f>
        <v>1.2872768755871695</v>
      </c>
      <c r="BH10" s="4">
        <f>'Import-dataset'!BH13/'Import-dataset'!BH12</f>
        <v>1.0785841938046068</v>
      </c>
      <c r="BI10" s="4">
        <f>'Import-dataset'!BI13/'Import-dataset'!BI12</f>
        <v>1.1576439864483343</v>
      </c>
      <c r="BJ10" s="4">
        <f>'Import-dataset'!BJ13/'Import-dataset'!BJ12</f>
        <v>0.95885530028214427</v>
      </c>
      <c r="BK10" s="4">
        <f>'Import-dataset'!BK13/'Import-dataset'!BK12</f>
        <v>1.3267546907574705</v>
      </c>
      <c r="BL10" s="4">
        <f>'Import-dataset'!BL13/'Import-dataset'!BL12</f>
        <v>1.0626875737649637</v>
      </c>
      <c r="BM10" s="4">
        <f>'Import-dataset'!BM13/'Import-dataset'!BM12</f>
        <v>1.0192600101368474</v>
      </c>
      <c r="BN10" s="4">
        <f>'Import-dataset'!BN13/'Import-dataset'!BN12</f>
        <v>1.0587253920587254</v>
      </c>
      <c r="BO10" s="4">
        <f>'Import-dataset'!BO13/'Import-dataset'!BO12</f>
        <v>1.0040613718411553</v>
      </c>
      <c r="BP10" s="4">
        <f>'Import-dataset'!BP13/'Import-dataset'!BP12</f>
        <v>1.0223193382238176</v>
      </c>
      <c r="BQ10" s="4">
        <f>'Import-dataset'!BQ13/'Import-dataset'!BQ12</f>
        <v>1.0583446404341927</v>
      </c>
      <c r="BR10" s="4">
        <f>'Import-dataset'!BR13/'Import-dataset'!BR12</f>
        <v>1.0525855365474339</v>
      </c>
      <c r="BS10" s="4">
        <f>'Import-dataset'!BS13/'Import-dataset'!BS12</f>
        <v>1.0350165868042758</v>
      </c>
      <c r="BT10" s="4">
        <f>'Import-dataset'!BT13/'Import-dataset'!BT12</f>
        <v>1.1094195069246635</v>
      </c>
      <c r="BU10" s="4">
        <f>'Import-dataset'!BU13/'Import-dataset'!BU12</f>
        <v>1.9021529324424646</v>
      </c>
      <c r="BV10" s="4">
        <f>'Import-dataset'!BV13/'Import-dataset'!BV12</f>
        <v>6</v>
      </c>
      <c r="BW10" s="4">
        <f>'Import-dataset'!BW13/'Import-dataset'!BW12</f>
        <v>1.2456140350877194</v>
      </c>
      <c r="BX10" s="4">
        <f>'Import-dataset'!BX13/'Import-dataset'!BX12</f>
        <v>1.2222222222222223</v>
      </c>
      <c r="BY10" s="4">
        <f>'Import-dataset'!BY13/'Import-dataset'!BY12</f>
        <v>2.0872823005265291</v>
      </c>
      <c r="BZ10" s="4">
        <f>'Import-dataset'!BZ13/'Import-dataset'!BZ12</f>
        <v>1.3959578707657272</v>
      </c>
      <c r="CA10" s="4">
        <f>'Import-dataset'!CA13/'Import-dataset'!CA12</f>
        <v>1.0720980382578111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1E6A8-DAD5-2E42-8A92-6C1ADD3DF1E2}">
  <dimension ref="A1:CB21"/>
  <sheetViews>
    <sheetView workbookViewId="0">
      <selection activeCell="AO28" sqref="AO28"/>
    </sheetView>
  </sheetViews>
  <sheetFormatPr baseColWidth="10" defaultRowHeight="15" x14ac:dyDescent="0.2"/>
  <sheetData>
    <row r="1" spans="1:80" x14ac:dyDescent="0.2">
      <c r="A1" t="s">
        <v>252</v>
      </c>
      <c r="B1" t="s">
        <v>253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">
      <c r="A2" t="s">
        <v>160</v>
      </c>
      <c r="B2" t="s">
        <v>0</v>
      </c>
      <c r="C2">
        <v>32621</v>
      </c>
      <c r="D2">
        <v>1874</v>
      </c>
      <c r="E2">
        <v>11088</v>
      </c>
      <c r="F2">
        <v>2208</v>
      </c>
      <c r="G2">
        <v>1379</v>
      </c>
      <c r="H2">
        <v>7580</v>
      </c>
      <c r="I2">
        <v>4153</v>
      </c>
      <c r="J2">
        <v>319</v>
      </c>
      <c r="K2">
        <v>363</v>
      </c>
      <c r="L2">
        <v>1174</v>
      </c>
      <c r="M2">
        <v>2478</v>
      </c>
      <c r="N2">
        <v>2679</v>
      </c>
      <c r="O2">
        <v>2610</v>
      </c>
      <c r="P2">
        <v>68</v>
      </c>
      <c r="Q2">
        <v>83621</v>
      </c>
      <c r="R2">
        <v>827</v>
      </c>
      <c r="S2">
        <v>1415</v>
      </c>
      <c r="T2">
        <v>7</v>
      </c>
      <c r="U2">
        <v>1769</v>
      </c>
      <c r="V2">
        <v>242</v>
      </c>
      <c r="W2">
        <v>4722</v>
      </c>
      <c r="X2">
        <v>665</v>
      </c>
      <c r="Y2">
        <v>73494</v>
      </c>
      <c r="Z2">
        <v>476</v>
      </c>
      <c r="AA2">
        <v>67702</v>
      </c>
      <c r="AB2">
        <v>42273</v>
      </c>
      <c r="AC2">
        <v>6946</v>
      </c>
      <c r="AD2">
        <v>18480</v>
      </c>
      <c r="AE2">
        <v>675</v>
      </c>
      <c r="AF2">
        <v>422</v>
      </c>
      <c r="AG2">
        <v>217</v>
      </c>
      <c r="AH2">
        <v>37</v>
      </c>
      <c r="AI2">
        <v>8367</v>
      </c>
      <c r="AJ2">
        <v>227</v>
      </c>
      <c r="AK2">
        <v>657</v>
      </c>
      <c r="AL2">
        <v>847</v>
      </c>
      <c r="AM2">
        <v>3486</v>
      </c>
      <c r="AN2">
        <v>985</v>
      </c>
      <c r="AO2">
        <v>369</v>
      </c>
      <c r="AP2">
        <v>315</v>
      </c>
      <c r="AQ2">
        <v>418</v>
      </c>
      <c r="AR2">
        <v>1065</v>
      </c>
      <c r="AS2">
        <v>13406</v>
      </c>
      <c r="AT2">
        <v>184</v>
      </c>
      <c r="AU2">
        <v>246</v>
      </c>
      <c r="AV2">
        <v>111</v>
      </c>
      <c r="AW2">
        <v>984</v>
      </c>
      <c r="AX2">
        <v>268</v>
      </c>
      <c r="AY2">
        <v>1060</v>
      </c>
      <c r="AZ2">
        <v>602</v>
      </c>
      <c r="BA2">
        <v>8842</v>
      </c>
      <c r="BB2">
        <v>1107</v>
      </c>
      <c r="BC2">
        <v>15387</v>
      </c>
      <c r="BD2">
        <v>872</v>
      </c>
      <c r="BE2">
        <v>1872</v>
      </c>
      <c r="BF2">
        <v>161</v>
      </c>
      <c r="BG2">
        <v>2269</v>
      </c>
      <c r="BH2">
        <v>1542</v>
      </c>
      <c r="BI2">
        <v>1752</v>
      </c>
      <c r="BJ2">
        <v>1691</v>
      </c>
      <c r="BK2">
        <v>2940</v>
      </c>
      <c r="BL2">
        <v>2290</v>
      </c>
      <c r="BM2">
        <v>6558</v>
      </c>
      <c r="BN2">
        <v>136</v>
      </c>
      <c r="BO2">
        <v>133</v>
      </c>
      <c r="BP2">
        <v>64</v>
      </c>
      <c r="BQ2">
        <v>328</v>
      </c>
      <c r="BR2">
        <v>92</v>
      </c>
      <c r="BS2">
        <v>2532</v>
      </c>
      <c r="BT2">
        <v>409</v>
      </c>
      <c r="BU2">
        <v>2862</v>
      </c>
      <c r="BV2">
        <v>27452</v>
      </c>
      <c r="BW2">
        <v>1563</v>
      </c>
      <c r="BX2">
        <v>989</v>
      </c>
      <c r="BY2">
        <v>1</v>
      </c>
      <c r="BZ2">
        <v>18857</v>
      </c>
      <c r="CA2">
        <v>6043</v>
      </c>
      <c r="CB2">
        <v>258469</v>
      </c>
    </row>
    <row r="3" spans="1:80" x14ac:dyDescent="0.2">
      <c r="A3" t="s">
        <v>161</v>
      </c>
      <c r="B3" t="s">
        <v>0</v>
      </c>
      <c r="C3">
        <v>36596</v>
      </c>
      <c r="D3">
        <v>1618</v>
      </c>
      <c r="E3">
        <v>11834</v>
      </c>
      <c r="F3">
        <v>2345</v>
      </c>
      <c r="G3">
        <v>1424</v>
      </c>
      <c r="H3">
        <v>9336</v>
      </c>
      <c r="I3">
        <v>5099</v>
      </c>
      <c r="J3">
        <v>330</v>
      </c>
      <c r="K3">
        <v>369</v>
      </c>
      <c r="L3">
        <v>1230</v>
      </c>
      <c r="M3">
        <v>3011</v>
      </c>
      <c r="N3">
        <v>3031</v>
      </c>
      <c r="O3">
        <v>2962</v>
      </c>
      <c r="P3">
        <v>67</v>
      </c>
      <c r="Q3">
        <v>99473</v>
      </c>
      <c r="R3">
        <v>808</v>
      </c>
      <c r="S3">
        <v>1906</v>
      </c>
      <c r="T3">
        <v>0</v>
      </c>
      <c r="U3">
        <v>1975</v>
      </c>
      <c r="V3">
        <v>277</v>
      </c>
      <c r="W3">
        <v>5852</v>
      </c>
      <c r="X3">
        <v>1575</v>
      </c>
      <c r="Y3">
        <v>86583</v>
      </c>
      <c r="Z3">
        <v>496</v>
      </c>
      <c r="AA3">
        <v>91149</v>
      </c>
      <c r="AB3">
        <v>57133</v>
      </c>
      <c r="AC3">
        <v>7662</v>
      </c>
      <c r="AD3">
        <v>26355</v>
      </c>
      <c r="AE3">
        <v>680</v>
      </c>
      <c r="AF3">
        <v>390</v>
      </c>
      <c r="AG3">
        <v>241</v>
      </c>
      <c r="AH3">
        <v>49</v>
      </c>
      <c r="AI3">
        <v>8643</v>
      </c>
      <c r="AJ3">
        <v>199</v>
      </c>
      <c r="AK3">
        <v>702</v>
      </c>
      <c r="AL3">
        <v>959</v>
      </c>
      <c r="AM3">
        <v>3478</v>
      </c>
      <c r="AN3">
        <v>1180</v>
      </c>
      <c r="AO3">
        <v>265</v>
      </c>
      <c r="AP3">
        <v>339</v>
      </c>
      <c r="AQ3">
        <v>443</v>
      </c>
      <c r="AR3">
        <v>1072</v>
      </c>
      <c r="AS3">
        <v>14749</v>
      </c>
      <c r="AT3">
        <v>166</v>
      </c>
      <c r="AU3">
        <v>294</v>
      </c>
      <c r="AV3">
        <v>115</v>
      </c>
      <c r="AW3">
        <v>1013</v>
      </c>
      <c r="AX3">
        <v>274</v>
      </c>
      <c r="AY3">
        <v>902</v>
      </c>
      <c r="AZ3">
        <v>917</v>
      </c>
      <c r="BA3">
        <v>9957</v>
      </c>
      <c r="BB3">
        <v>1114</v>
      </c>
      <c r="BC3">
        <v>14638</v>
      </c>
      <c r="BD3">
        <v>742</v>
      </c>
      <c r="BE3">
        <v>1886</v>
      </c>
      <c r="BF3">
        <v>188</v>
      </c>
      <c r="BG3">
        <v>2191</v>
      </c>
      <c r="BH3">
        <v>1226</v>
      </c>
      <c r="BI3">
        <v>2012</v>
      </c>
      <c r="BJ3">
        <v>1847</v>
      </c>
      <c r="BK3">
        <v>2264</v>
      </c>
      <c r="BL3">
        <v>2283</v>
      </c>
      <c r="BM3">
        <v>6857</v>
      </c>
      <c r="BN3">
        <v>144</v>
      </c>
      <c r="BO3">
        <v>141</v>
      </c>
      <c r="BP3">
        <v>70</v>
      </c>
      <c r="BQ3">
        <v>328</v>
      </c>
      <c r="BR3">
        <v>115</v>
      </c>
      <c r="BS3">
        <v>2619</v>
      </c>
      <c r="BT3">
        <v>427</v>
      </c>
      <c r="BU3">
        <v>3017</v>
      </c>
      <c r="BV3">
        <v>25523</v>
      </c>
      <c r="BW3">
        <v>1474</v>
      </c>
      <c r="BX3">
        <v>677</v>
      </c>
      <c r="BY3">
        <v>1</v>
      </c>
      <c r="BZ3">
        <v>17620</v>
      </c>
      <c r="CA3">
        <v>5749</v>
      </c>
      <c r="CB3">
        <v>301334</v>
      </c>
    </row>
    <row r="4" spans="1:80" x14ac:dyDescent="0.2">
      <c r="A4" t="s">
        <v>162</v>
      </c>
      <c r="B4" t="s">
        <v>0</v>
      </c>
      <c r="C4">
        <v>35271</v>
      </c>
      <c r="D4">
        <v>1825</v>
      </c>
      <c r="E4">
        <v>13605</v>
      </c>
      <c r="F4">
        <v>2481</v>
      </c>
      <c r="G4">
        <v>1469</v>
      </c>
      <c r="H4">
        <v>7326</v>
      </c>
      <c r="I4">
        <v>3567</v>
      </c>
      <c r="J4">
        <v>300</v>
      </c>
      <c r="K4">
        <v>393</v>
      </c>
      <c r="L4">
        <v>1359</v>
      </c>
      <c r="M4">
        <v>2946</v>
      </c>
      <c r="N4">
        <v>3377</v>
      </c>
      <c r="O4">
        <v>3318</v>
      </c>
      <c r="P4">
        <v>59</v>
      </c>
      <c r="Q4">
        <v>106879</v>
      </c>
      <c r="R4">
        <v>731</v>
      </c>
      <c r="S4">
        <v>1398</v>
      </c>
      <c r="T4">
        <v>15</v>
      </c>
      <c r="U4">
        <v>2218</v>
      </c>
      <c r="V4">
        <v>238</v>
      </c>
      <c r="W4">
        <v>6474</v>
      </c>
      <c r="X4">
        <v>2110</v>
      </c>
      <c r="Y4">
        <v>93112</v>
      </c>
      <c r="Z4">
        <v>584</v>
      </c>
      <c r="AA4">
        <v>122269</v>
      </c>
      <c r="AB4">
        <v>66848</v>
      </c>
      <c r="AC4">
        <v>11191</v>
      </c>
      <c r="AD4">
        <v>44229</v>
      </c>
      <c r="AE4">
        <v>663</v>
      </c>
      <c r="AF4">
        <v>368</v>
      </c>
      <c r="AG4">
        <v>240</v>
      </c>
      <c r="AH4">
        <v>55</v>
      </c>
      <c r="AI4">
        <v>10510</v>
      </c>
      <c r="AJ4">
        <v>201</v>
      </c>
      <c r="AK4">
        <v>937</v>
      </c>
      <c r="AL4">
        <v>1029</v>
      </c>
      <c r="AM4">
        <v>4750</v>
      </c>
      <c r="AN4">
        <v>1346</v>
      </c>
      <c r="AO4">
        <v>320</v>
      </c>
      <c r="AP4">
        <v>298</v>
      </c>
      <c r="AQ4">
        <v>443</v>
      </c>
      <c r="AR4">
        <v>1185</v>
      </c>
      <c r="AS4">
        <v>17031</v>
      </c>
      <c r="AT4">
        <v>166</v>
      </c>
      <c r="AU4">
        <v>307</v>
      </c>
      <c r="AV4">
        <v>97</v>
      </c>
      <c r="AW4">
        <v>1145</v>
      </c>
      <c r="AX4">
        <v>273</v>
      </c>
      <c r="AY4">
        <v>927</v>
      </c>
      <c r="AZ4">
        <v>1029</v>
      </c>
      <c r="BA4">
        <v>11823</v>
      </c>
      <c r="BB4">
        <v>1265</v>
      </c>
      <c r="BC4">
        <v>15352</v>
      </c>
      <c r="BD4">
        <v>939</v>
      </c>
      <c r="BE4">
        <v>1833</v>
      </c>
      <c r="BF4">
        <v>275</v>
      </c>
      <c r="BG4">
        <v>2296</v>
      </c>
      <c r="BH4">
        <v>1284</v>
      </c>
      <c r="BI4">
        <v>2008</v>
      </c>
      <c r="BJ4">
        <v>2078</v>
      </c>
      <c r="BK4">
        <v>1693</v>
      </c>
      <c r="BL4">
        <v>2945</v>
      </c>
      <c r="BM4">
        <v>7288</v>
      </c>
      <c r="BN4">
        <v>162</v>
      </c>
      <c r="BO4">
        <v>152</v>
      </c>
      <c r="BP4">
        <v>80</v>
      </c>
      <c r="BQ4">
        <v>336</v>
      </c>
      <c r="BR4">
        <v>124</v>
      </c>
      <c r="BS4">
        <v>2765</v>
      </c>
      <c r="BT4">
        <v>440</v>
      </c>
      <c r="BU4">
        <v>3231</v>
      </c>
      <c r="BV4">
        <v>25975</v>
      </c>
      <c r="BW4">
        <v>1371</v>
      </c>
      <c r="BX4">
        <v>814</v>
      </c>
      <c r="BY4">
        <v>0</v>
      </c>
      <c r="BZ4">
        <v>19136</v>
      </c>
      <c r="CA4">
        <v>4651</v>
      </c>
      <c r="CB4">
        <v>344615</v>
      </c>
    </row>
    <row r="5" spans="1:80" x14ac:dyDescent="0.2">
      <c r="A5" t="s">
        <v>163</v>
      </c>
      <c r="B5" t="s">
        <v>0</v>
      </c>
      <c r="C5">
        <v>37649</v>
      </c>
      <c r="D5">
        <v>2126</v>
      </c>
      <c r="E5">
        <v>16462</v>
      </c>
      <c r="F5">
        <v>2488</v>
      </c>
      <c r="G5">
        <v>1529</v>
      </c>
      <c r="H5">
        <v>5891</v>
      </c>
      <c r="I5">
        <v>4112</v>
      </c>
      <c r="J5">
        <v>268</v>
      </c>
      <c r="K5">
        <v>425</v>
      </c>
      <c r="L5">
        <v>1374</v>
      </c>
      <c r="M5">
        <v>2977</v>
      </c>
      <c r="N5">
        <v>3582</v>
      </c>
      <c r="O5">
        <v>3523</v>
      </c>
      <c r="P5">
        <v>59</v>
      </c>
      <c r="Q5">
        <v>136415</v>
      </c>
      <c r="R5">
        <v>579</v>
      </c>
      <c r="S5">
        <v>1051</v>
      </c>
      <c r="T5">
        <v>20</v>
      </c>
      <c r="U5">
        <v>2225</v>
      </c>
      <c r="V5">
        <v>183</v>
      </c>
      <c r="W5">
        <v>4844</v>
      </c>
      <c r="X5">
        <v>1717</v>
      </c>
      <c r="Y5">
        <v>125211</v>
      </c>
      <c r="Z5">
        <v>584</v>
      </c>
      <c r="AA5">
        <v>126288</v>
      </c>
      <c r="AB5">
        <v>63941</v>
      </c>
      <c r="AC5">
        <v>12224</v>
      </c>
      <c r="AD5">
        <v>50124</v>
      </c>
      <c r="AE5">
        <v>647</v>
      </c>
      <c r="AF5">
        <v>359</v>
      </c>
      <c r="AG5">
        <v>243</v>
      </c>
      <c r="AH5">
        <v>47</v>
      </c>
      <c r="AI5">
        <v>11971</v>
      </c>
      <c r="AJ5">
        <v>212</v>
      </c>
      <c r="AK5">
        <v>754</v>
      </c>
      <c r="AL5">
        <v>1008</v>
      </c>
      <c r="AM5">
        <v>6249</v>
      </c>
      <c r="AN5">
        <v>1532</v>
      </c>
      <c r="AO5">
        <v>262</v>
      </c>
      <c r="AP5">
        <v>328</v>
      </c>
      <c r="AQ5">
        <v>397</v>
      </c>
      <c r="AR5">
        <v>1225</v>
      </c>
      <c r="AS5">
        <v>17567</v>
      </c>
      <c r="AT5">
        <v>141</v>
      </c>
      <c r="AU5">
        <v>325</v>
      </c>
      <c r="AV5">
        <v>108</v>
      </c>
      <c r="AW5">
        <v>1094</v>
      </c>
      <c r="AX5">
        <v>305</v>
      </c>
      <c r="AY5">
        <v>1005</v>
      </c>
      <c r="AZ5">
        <v>1217</v>
      </c>
      <c r="BA5">
        <v>11999</v>
      </c>
      <c r="BB5">
        <v>1372</v>
      </c>
      <c r="BC5">
        <v>16992</v>
      </c>
      <c r="BD5">
        <v>1064</v>
      </c>
      <c r="BE5">
        <v>1961</v>
      </c>
      <c r="BF5">
        <v>192</v>
      </c>
      <c r="BG5">
        <v>2456</v>
      </c>
      <c r="BH5">
        <v>1410</v>
      </c>
      <c r="BI5">
        <v>2657</v>
      </c>
      <c r="BJ5">
        <v>2131</v>
      </c>
      <c r="BK5">
        <v>1919</v>
      </c>
      <c r="BL5">
        <v>3208</v>
      </c>
      <c r="BM5">
        <v>8208</v>
      </c>
      <c r="BN5">
        <v>157</v>
      </c>
      <c r="BO5">
        <v>182</v>
      </c>
      <c r="BP5">
        <v>94</v>
      </c>
      <c r="BQ5">
        <v>377</v>
      </c>
      <c r="BR5">
        <v>122</v>
      </c>
      <c r="BS5">
        <v>3906</v>
      </c>
      <c r="BT5">
        <v>466</v>
      </c>
      <c r="BU5">
        <v>2901</v>
      </c>
      <c r="BV5">
        <v>30661</v>
      </c>
      <c r="BW5">
        <v>1239</v>
      </c>
      <c r="BX5">
        <v>861</v>
      </c>
      <c r="BY5">
        <v>0</v>
      </c>
      <c r="BZ5">
        <v>23372</v>
      </c>
      <c r="CA5">
        <v>5188</v>
      </c>
      <c r="CB5">
        <v>389981</v>
      </c>
    </row>
    <row r="6" spans="1:80" x14ac:dyDescent="0.2">
      <c r="A6" t="s">
        <v>164</v>
      </c>
      <c r="B6" t="s">
        <v>0</v>
      </c>
      <c r="C6">
        <v>35628</v>
      </c>
      <c r="D6">
        <v>1949</v>
      </c>
      <c r="E6">
        <v>14705</v>
      </c>
      <c r="F6">
        <v>2544</v>
      </c>
      <c r="G6">
        <v>1229</v>
      </c>
      <c r="H6">
        <v>6440</v>
      </c>
      <c r="I6">
        <v>4127</v>
      </c>
      <c r="J6">
        <v>283</v>
      </c>
      <c r="K6">
        <v>447</v>
      </c>
      <c r="L6">
        <v>1310</v>
      </c>
      <c r="M6">
        <v>2591</v>
      </c>
      <c r="N6">
        <v>3283</v>
      </c>
      <c r="O6">
        <v>3246</v>
      </c>
      <c r="P6">
        <v>37</v>
      </c>
      <c r="Q6">
        <v>151968</v>
      </c>
      <c r="R6">
        <v>414</v>
      </c>
      <c r="S6">
        <v>1183</v>
      </c>
      <c r="T6">
        <v>10</v>
      </c>
      <c r="U6">
        <v>1669</v>
      </c>
      <c r="V6">
        <v>172</v>
      </c>
      <c r="W6">
        <v>2739</v>
      </c>
      <c r="X6">
        <v>1163</v>
      </c>
      <c r="Y6">
        <v>144068</v>
      </c>
      <c r="Z6">
        <v>551</v>
      </c>
      <c r="AA6">
        <v>88821</v>
      </c>
      <c r="AB6">
        <v>43367</v>
      </c>
      <c r="AC6">
        <v>7755</v>
      </c>
      <c r="AD6">
        <v>37699</v>
      </c>
      <c r="AE6">
        <v>761</v>
      </c>
      <c r="AF6">
        <v>444</v>
      </c>
      <c r="AG6">
        <v>282</v>
      </c>
      <c r="AH6">
        <v>33</v>
      </c>
      <c r="AI6">
        <v>11092</v>
      </c>
      <c r="AJ6">
        <v>227</v>
      </c>
      <c r="AK6">
        <v>641</v>
      </c>
      <c r="AL6">
        <v>894</v>
      </c>
      <c r="AM6">
        <v>5547</v>
      </c>
      <c r="AN6">
        <v>1590</v>
      </c>
      <c r="AO6">
        <v>330</v>
      </c>
      <c r="AP6">
        <v>232</v>
      </c>
      <c r="AQ6">
        <v>311</v>
      </c>
      <c r="AR6">
        <v>1325</v>
      </c>
      <c r="AS6">
        <v>14708</v>
      </c>
      <c r="AT6">
        <v>112</v>
      </c>
      <c r="AU6">
        <v>260</v>
      </c>
      <c r="AV6">
        <v>103</v>
      </c>
      <c r="AW6">
        <v>934</v>
      </c>
      <c r="AX6">
        <v>276</v>
      </c>
      <c r="AY6">
        <v>736</v>
      </c>
      <c r="AZ6">
        <v>920</v>
      </c>
      <c r="BA6">
        <v>10215</v>
      </c>
      <c r="BB6">
        <v>1154</v>
      </c>
      <c r="BC6">
        <v>14678</v>
      </c>
      <c r="BD6">
        <v>1068</v>
      </c>
      <c r="BE6">
        <v>1769</v>
      </c>
      <c r="BF6">
        <v>138</v>
      </c>
      <c r="BG6">
        <v>2164</v>
      </c>
      <c r="BH6">
        <v>1300</v>
      </c>
      <c r="BI6">
        <v>2251</v>
      </c>
      <c r="BJ6">
        <v>2006</v>
      </c>
      <c r="BK6">
        <v>1598</v>
      </c>
      <c r="BL6">
        <v>2387</v>
      </c>
      <c r="BM6">
        <v>7376</v>
      </c>
      <c r="BN6">
        <v>161</v>
      </c>
      <c r="BO6">
        <v>136</v>
      </c>
      <c r="BP6">
        <v>112</v>
      </c>
      <c r="BQ6">
        <v>387</v>
      </c>
      <c r="BR6">
        <v>129</v>
      </c>
      <c r="BS6">
        <v>3526</v>
      </c>
      <c r="BT6">
        <v>432</v>
      </c>
      <c r="BU6">
        <v>2494</v>
      </c>
      <c r="BV6">
        <v>34408</v>
      </c>
      <c r="BW6">
        <v>1063</v>
      </c>
      <c r="BX6">
        <v>1303</v>
      </c>
      <c r="BY6">
        <v>2</v>
      </c>
      <c r="BZ6">
        <v>25492</v>
      </c>
      <c r="CA6">
        <v>6551</v>
      </c>
      <c r="CB6">
        <v>362728</v>
      </c>
    </row>
    <row r="7" spans="1:80" x14ac:dyDescent="0.2">
      <c r="A7" t="s">
        <v>165</v>
      </c>
      <c r="B7" t="s">
        <v>0</v>
      </c>
      <c r="C7">
        <v>43540</v>
      </c>
      <c r="D7">
        <v>1646</v>
      </c>
      <c r="E7">
        <v>14801</v>
      </c>
      <c r="F7">
        <v>2947</v>
      </c>
      <c r="G7">
        <v>1207</v>
      </c>
      <c r="H7">
        <v>14105</v>
      </c>
      <c r="I7">
        <v>4512</v>
      </c>
      <c r="J7">
        <v>318</v>
      </c>
      <c r="K7">
        <v>476</v>
      </c>
      <c r="L7">
        <v>1424</v>
      </c>
      <c r="M7">
        <v>2105</v>
      </c>
      <c r="N7">
        <v>2523</v>
      </c>
      <c r="O7">
        <v>2503</v>
      </c>
      <c r="P7">
        <v>21</v>
      </c>
      <c r="Q7">
        <v>198179</v>
      </c>
      <c r="R7">
        <v>504</v>
      </c>
      <c r="S7">
        <v>3166</v>
      </c>
      <c r="T7">
        <v>11</v>
      </c>
      <c r="U7">
        <v>1338</v>
      </c>
      <c r="V7">
        <v>266</v>
      </c>
      <c r="W7">
        <v>5081</v>
      </c>
      <c r="X7">
        <v>1948</v>
      </c>
      <c r="Y7">
        <v>185259</v>
      </c>
      <c r="Z7">
        <v>613</v>
      </c>
      <c r="AA7">
        <v>126395</v>
      </c>
      <c r="AB7">
        <v>63504</v>
      </c>
      <c r="AC7">
        <v>11715</v>
      </c>
      <c r="AD7">
        <v>51179</v>
      </c>
      <c r="AE7">
        <v>1085</v>
      </c>
      <c r="AF7">
        <v>669</v>
      </c>
      <c r="AG7">
        <v>360</v>
      </c>
      <c r="AH7">
        <v>54</v>
      </c>
      <c r="AI7">
        <v>10052</v>
      </c>
      <c r="AJ7">
        <v>239</v>
      </c>
      <c r="AK7">
        <v>808</v>
      </c>
      <c r="AL7">
        <v>1036</v>
      </c>
      <c r="AM7">
        <v>3630</v>
      </c>
      <c r="AN7">
        <v>1663</v>
      </c>
      <c r="AO7">
        <v>490</v>
      </c>
      <c r="AP7">
        <v>368</v>
      </c>
      <c r="AQ7">
        <v>345</v>
      </c>
      <c r="AR7">
        <v>1474</v>
      </c>
      <c r="AS7">
        <v>16703</v>
      </c>
      <c r="AT7">
        <v>160</v>
      </c>
      <c r="AU7">
        <v>257</v>
      </c>
      <c r="AV7">
        <v>96</v>
      </c>
      <c r="AW7">
        <v>948</v>
      </c>
      <c r="AX7">
        <v>333</v>
      </c>
      <c r="AY7">
        <v>570</v>
      </c>
      <c r="AZ7">
        <v>793</v>
      </c>
      <c r="BA7">
        <v>12328</v>
      </c>
      <c r="BB7">
        <v>1220</v>
      </c>
      <c r="BC7">
        <v>14728</v>
      </c>
      <c r="BD7">
        <v>872</v>
      </c>
      <c r="BE7">
        <v>1678</v>
      </c>
      <c r="BF7">
        <v>175</v>
      </c>
      <c r="BG7">
        <v>2230</v>
      </c>
      <c r="BH7">
        <v>1376</v>
      </c>
      <c r="BI7">
        <v>2331</v>
      </c>
      <c r="BJ7">
        <v>2227</v>
      </c>
      <c r="BK7">
        <v>1853</v>
      </c>
      <c r="BL7">
        <v>1988</v>
      </c>
      <c r="BM7">
        <v>8036</v>
      </c>
      <c r="BN7">
        <v>203</v>
      </c>
      <c r="BO7">
        <v>145</v>
      </c>
      <c r="BP7">
        <v>116</v>
      </c>
      <c r="BQ7">
        <v>480</v>
      </c>
      <c r="BR7">
        <v>119</v>
      </c>
      <c r="BS7">
        <v>3875</v>
      </c>
      <c r="BT7">
        <v>453</v>
      </c>
      <c r="BU7">
        <v>2646</v>
      </c>
      <c r="BV7">
        <v>36933</v>
      </c>
      <c r="BW7">
        <v>1789</v>
      </c>
      <c r="BX7">
        <v>2576</v>
      </c>
      <c r="BY7">
        <v>2</v>
      </c>
      <c r="BZ7">
        <v>23281</v>
      </c>
      <c r="CA7">
        <v>9283</v>
      </c>
      <c r="CB7">
        <v>458168</v>
      </c>
    </row>
    <row r="8" spans="1:80" x14ac:dyDescent="0.2">
      <c r="A8" t="s">
        <v>166</v>
      </c>
      <c r="B8" t="s">
        <v>0</v>
      </c>
      <c r="C8">
        <v>53122</v>
      </c>
      <c r="D8">
        <v>1518</v>
      </c>
      <c r="E8">
        <v>16600</v>
      </c>
      <c r="F8">
        <v>3385</v>
      </c>
      <c r="G8">
        <v>1205</v>
      </c>
      <c r="H8">
        <v>20672</v>
      </c>
      <c r="I8">
        <v>5027</v>
      </c>
      <c r="J8">
        <v>321</v>
      </c>
      <c r="K8">
        <v>517</v>
      </c>
      <c r="L8">
        <v>1719</v>
      </c>
      <c r="M8">
        <v>2160</v>
      </c>
      <c r="N8">
        <v>2572</v>
      </c>
      <c r="O8">
        <v>2553</v>
      </c>
      <c r="P8">
        <v>19</v>
      </c>
      <c r="Q8">
        <v>188296</v>
      </c>
      <c r="R8">
        <v>454</v>
      </c>
      <c r="S8">
        <v>7762</v>
      </c>
      <c r="T8">
        <v>9</v>
      </c>
      <c r="U8">
        <v>1523</v>
      </c>
      <c r="V8">
        <v>307</v>
      </c>
      <c r="W8">
        <v>7710</v>
      </c>
      <c r="X8">
        <v>12384</v>
      </c>
      <c r="Y8">
        <v>157451</v>
      </c>
      <c r="Z8">
        <v>692</v>
      </c>
      <c r="AA8">
        <v>251334</v>
      </c>
      <c r="AB8">
        <v>142345</v>
      </c>
      <c r="AC8">
        <v>17341</v>
      </c>
      <c r="AD8">
        <v>91648</v>
      </c>
      <c r="AE8">
        <v>1682</v>
      </c>
      <c r="AF8">
        <v>1080</v>
      </c>
      <c r="AG8">
        <v>538</v>
      </c>
      <c r="AH8">
        <v>64</v>
      </c>
      <c r="AI8">
        <v>12575</v>
      </c>
      <c r="AJ8">
        <v>245</v>
      </c>
      <c r="AK8">
        <v>1675</v>
      </c>
      <c r="AL8">
        <v>1068</v>
      </c>
      <c r="AM8">
        <v>4328</v>
      </c>
      <c r="AN8">
        <v>1768</v>
      </c>
      <c r="AO8">
        <v>731</v>
      </c>
      <c r="AP8">
        <v>303</v>
      </c>
      <c r="AQ8">
        <v>451</v>
      </c>
      <c r="AR8">
        <v>2007</v>
      </c>
      <c r="AS8">
        <v>19431</v>
      </c>
      <c r="AT8">
        <v>148</v>
      </c>
      <c r="AU8">
        <v>363</v>
      </c>
      <c r="AV8">
        <v>96</v>
      </c>
      <c r="AW8">
        <v>1014</v>
      </c>
      <c r="AX8">
        <v>356</v>
      </c>
      <c r="AY8">
        <v>604</v>
      </c>
      <c r="AZ8">
        <v>1340</v>
      </c>
      <c r="BA8">
        <v>14078</v>
      </c>
      <c r="BB8">
        <v>1430</v>
      </c>
      <c r="BC8">
        <v>16516</v>
      </c>
      <c r="BD8">
        <v>1027</v>
      </c>
      <c r="BE8">
        <v>1911</v>
      </c>
      <c r="BF8">
        <v>260</v>
      </c>
      <c r="BG8">
        <v>2489</v>
      </c>
      <c r="BH8">
        <v>1545</v>
      </c>
      <c r="BI8">
        <v>2337</v>
      </c>
      <c r="BJ8">
        <v>2692</v>
      </c>
      <c r="BK8">
        <v>2013</v>
      </c>
      <c r="BL8">
        <v>2245</v>
      </c>
      <c r="BM8">
        <v>9077</v>
      </c>
      <c r="BN8">
        <v>175</v>
      </c>
      <c r="BO8">
        <v>166</v>
      </c>
      <c r="BP8">
        <v>201</v>
      </c>
      <c r="BQ8">
        <v>649</v>
      </c>
      <c r="BR8">
        <v>141</v>
      </c>
      <c r="BS8">
        <v>4409</v>
      </c>
      <c r="BT8">
        <v>506</v>
      </c>
      <c r="BU8">
        <v>2834</v>
      </c>
      <c r="BV8">
        <v>39255</v>
      </c>
      <c r="BW8">
        <v>764</v>
      </c>
      <c r="BX8">
        <v>3046</v>
      </c>
      <c r="BY8">
        <v>9</v>
      </c>
      <c r="BZ8">
        <v>23514</v>
      </c>
      <c r="CA8">
        <v>11921</v>
      </c>
      <c r="CB8">
        <v>593865</v>
      </c>
    </row>
    <row r="9" spans="1:80" x14ac:dyDescent="0.2">
      <c r="A9" t="s">
        <v>167</v>
      </c>
      <c r="B9" t="s">
        <v>0</v>
      </c>
      <c r="C9">
        <v>54749</v>
      </c>
      <c r="D9">
        <v>1236</v>
      </c>
      <c r="E9">
        <v>17798</v>
      </c>
      <c r="F9">
        <v>3000</v>
      </c>
      <c r="G9">
        <v>1346</v>
      </c>
      <c r="H9">
        <v>20628</v>
      </c>
      <c r="I9">
        <v>5891</v>
      </c>
      <c r="J9">
        <v>297</v>
      </c>
      <c r="K9">
        <v>509</v>
      </c>
      <c r="L9">
        <v>1737</v>
      </c>
      <c r="M9">
        <v>2314</v>
      </c>
      <c r="N9">
        <v>2548</v>
      </c>
      <c r="O9">
        <v>2524</v>
      </c>
      <c r="P9">
        <v>24</v>
      </c>
      <c r="Q9">
        <v>202961</v>
      </c>
      <c r="R9">
        <v>451</v>
      </c>
      <c r="S9">
        <v>5508</v>
      </c>
      <c r="T9">
        <v>14</v>
      </c>
      <c r="U9">
        <v>1435</v>
      </c>
      <c r="V9">
        <v>203</v>
      </c>
      <c r="W9">
        <v>7407</v>
      </c>
      <c r="X9">
        <v>19055</v>
      </c>
      <c r="Y9">
        <v>168243</v>
      </c>
      <c r="Z9">
        <v>650</v>
      </c>
      <c r="AA9">
        <v>195549</v>
      </c>
      <c r="AB9">
        <v>103331</v>
      </c>
      <c r="AC9">
        <v>15760</v>
      </c>
      <c r="AD9">
        <v>76456</v>
      </c>
      <c r="AE9">
        <v>1609</v>
      </c>
      <c r="AF9">
        <v>1053</v>
      </c>
      <c r="AG9">
        <v>420</v>
      </c>
      <c r="AH9">
        <v>136</v>
      </c>
      <c r="AI9">
        <v>11484</v>
      </c>
      <c r="AJ9">
        <v>221</v>
      </c>
      <c r="AK9">
        <v>1264</v>
      </c>
      <c r="AL9">
        <v>920</v>
      </c>
      <c r="AM9">
        <v>4754</v>
      </c>
      <c r="AN9">
        <v>1686</v>
      </c>
      <c r="AO9">
        <v>338</v>
      </c>
      <c r="AP9">
        <v>277</v>
      </c>
      <c r="AQ9">
        <v>385</v>
      </c>
      <c r="AR9">
        <v>1643</v>
      </c>
      <c r="AS9">
        <v>19357</v>
      </c>
      <c r="AT9">
        <v>109</v>
      </c>
      <c r="AU9">
        <v>397</v>
      </c>
      <c r="AV9">
        <v>98</v>
      </c>
      <c r="AW9">
        <v>888</v>
      </c>
      <c r="AX9">
        <v>364</v>
      </c>
      <c r="AY9">
        <v>854</v>
      </c>
      <c r="AZ9">
        <v>1256</v>
      </c>
      <c r="BA9">
        <v>13950</v>
      </c>
      <c r="BB9">
        <v>1442</v>
      </c>
      <c r="BC9">
        <v>18604</v>
      </c>
      <c r="BD9">
        <v>1303</v>
      </c>
      <c r="BE9">
        <v>2113</v>
      </c>
      <c r="BF9">
        <v>272</v>
      </c>
      <c r="BG9">
        <v>3044</v>
      </c>
      <c r="BH9">
        <v>1489</v>
      </c>
      <c r="BI9">
        <v>2677</v>
      </c>
      <c r="BJ9">
        <v>2954</v>
      </c>
      <c r="BK9">
        <v>2180</v>
      </c>
      <c r="BL9">
        <v>2574</v>
      </c>
      <c r="BM9">
        <v>10517</v>
      </c>
      <c r="BN9">
        <v>170</v>
      </c>
      <c r="BO9">
        <v>188</v>
      </c>
      <c r="BP9">
        <v>188</v>
      </c>
      <c r="BQ9">
        <v>706</v>
      </c>
      <c r="BR9">
        <v>181</v>
      </c>
      <c r="BS9">
        <v>4871</v>
      </c>
      <c r="BT9">
        <v>576</v>
      </c>
      <c r="BU9">
        <v>3636</v>
      </c>
      <c r="BV9">
        <v>41247</v>
      </c>
      <c r="BW9">
        <v>612</v>
      </c>
      <c r="BX9">
        <v>2011</v>
      </c>
      <c r="BY9">
        <v>11</v>
      </c>
      <c r="BZ9">
        <v>28352</v>
      </c>
      <c r="CA9">
        <v>10257</v>
      </c>
      <c r="CB9">
        <v>558623</v>
      </c>
    </row>
    <row r="10" spans="1:80" x14ac:dyDescent="0.2">
      <c r="A10" t="s">
        <v>247</v>
      </c>
      <c r="B10" t="s">
        <v>0</v>
      </c>
      <c r="C10">
        <v>52562</v>
      </c>
      <c r="D10">
        <v>1117</v>
      </c>
      <c r="E10">
        <v>21317</v>
      </c>
      <c r="F10">
        <v>3425</v>
      </c>
      <c r="G10">
        <v>1219</v>
      </c>
      <c r="H10">
        <v>13747</v>
      </c>
      <c r="I10">
        <v>7067</v>
      </c>
      <c r="J10">
        <v>298</v>
      </c>
      <c r="K10">
        <v>549</v>
      </c>
      <c r="L10">
        <v>1573</v>
      </c>
      <c r="M10">
        <v>2253</v>
      </c>
      <c r="N10">
        <v>3179</v>
      </c>
      <c r="O10">
        <v>3159</v>
      </c>
      <c r="P10">
        <v>20</v>
      </c>
      <c r="Q10">
        <v>179588</v>
      </c>
      <c r="R10">
        <v>532</v>
      </c>
      <c r="S10">
        <v>5005</v>
      </c>
      <c r="T10">
        <v>20</v>
      </c>
      <c r="U10">
        <v>1424</v>
      </c>
      <c r="V10">
        <v>242</v>
      </c>
      <c r="W10">
        <v>6498</v>
      </c>
      <c r="X10">
        <v>5137</v>
      </c>
      <c r="Y10">
        <v>160100</v>
      </c>
      <c r="Z10">
        <v>635</v>
      </c>
      <c r="AA10">
        <v>170842</v>
      </c>
      <c r="AB10">
        <v>85445</v>
      </c>
      <c r="AC10">
        <v>15713</v>
      </c>
      <c r="AD10">
        <v>69682</v>
      </c>
      <c r="AE10">
        <v>1397</v>
      </c>
      <c r="AF10">
        <v>865</v>
      </c>
      <c r="AG10">
        <v>416</v>
      </c>
      <c r="AH10">
        <v>118</v>
      </c>
      <c r="AI10">
        <v>12272</v>
      </c>
      <c r="AJ10">
        <v>215</v>
      </c>
      <c r="AK10">
        <v>946</v>
      </c>
      <c r="AL10">
        <v>1162</v>
      </c>
      <c r="AM10">
        <v>5387</v>
      </c>
      <c r="AN10">
        <v>1705</v>
      </c>
      <c r="AO10">
        <v>437</v>
      </c>
      <c r="AP10">
        <v>294</v>
      </c>
      <c r="AQ10">
        <v>412</v>
      </c>
      <c r="AR10">
        <v>1718</v>
      </c>
      <c r="AS10">
        <v>20515</v>
      </c>
      <c r="AT10">
        <v>112</v>
      </c>
      <c r="AU10">
        <v>331</v>
      </c>
      <c r="AV10">
        <v>97</v>
      </c>
      <c r="AW10">
        <v>891</v>
      </c>
      <c r="AX10">
        <v>392</v>
      </c>
      <c r="AY10">
        <v>590</v>
      </c>
      <c r="AZ10">
        <v>1332</v>
      </c>
      <c r="BA10">
        <v>15294</v>
      </c>
      <c r="BB10">
        <v>1476</v>
      </c>
      <c r="BC10">
        <v>20484</v>
      </c>
      <c r="BD10">
        <v>1377</v>
      </c>
      <c r="BE10">
        <v>2346</v>
      </c>
      <c r="BF10">
        <v>286</v>
      </c>
      <c r="BG10">
        <v>3125</v>
      </c>
      <c r="BH10">
        <v>1580</v>
      </c>
      <c r="BI10">
        <v>2923</v>
      </c>
      <c r="BJ10">
        <v>3219</v>
      </c>
      <c r="BK10">
        <v>2259</v>
      </c>
      <c r="BL10">
        <v>3377</v>
      </c>
      <c r="BM10">
        <v>10974</v>
      </c>
      <c r="BN10">
        <v>191</v>
      </c>
      <c r="BO10">
        <v>169</v>
      </c>
      <c r="BP10">
        <v>178</v>
      </c>
      <c r="BQ10">
        <v>773</v>
      </c>
      <c r="BR10">
        <v>191</v>
      </c>
      <c r="BS10">
        <v>4081</v>
      </c>
      <c r="BT10">
        <v>611</v>
      </c>
      <c r="BU10">
        <v>4777</v>
      </c>
      <c r="BV10">
        <v>45169</v>
      </c>
      <c r="BW10">
        <v>565</v>
      </c>
      <c r="BX10">
        <v>1340</v>
      </c>
      <c r="BY10">
        <v>23</v>
      </c>
      <c r="BZ10">
        <v>35703</v>
      </c>
      <c r="CA10">
        <v>7536</v>
      </c>
      <c r="CB10">
        <v>516983</v>
      </c>
    </row>
    <row r="11" spans="1:80" x14ac:dyDescent="0.2">
      <c r="A11" t="s">
        <v>248</v>
      </c>
      <c r="B11" t="s">
        <v>0</v>
      </c>
      <c r="C11">
        <v>62043</v>
      </c>
      <c r="D11">
        <v>1299</v>
      </c>
      <c r="E11">
        <v>27217</v>
      </c>
      <c r="F11">
        <v>3562</v>
      </c>
      <c r="G11">
        <v>1588</v>
      </c>
      <c r="H11">
        <v>16169</v>
      </c>
      <c r="I11">
        <v>7282</v>
      </c>
      <c r="J11">
        <v>263</v>
      </c>
      <c r="K11">
        <v>632</v>
      </c>
      <c r="L11">
        <v>1582</v>
      </c>
      <c r="M11">
        <v>2448</v>
      </c>
      <c r="N11">
        <v>3066</v>
      </c>
      <c r="O11">
        <v>3009</v>
      </c>
      <c r="P11">
        <v>58</v>
      </c>
      <c r="Q11">
        <v>180651</v>
      </c>
      <c r="R11">
        <v>546</v>
      </c>
      <c r="S11">
        <v>4616</v>
      </c>
      <c r="T11">
        <v>30</v>
      </c>
      <c r="U11">
        <v>1521</v>
      </c>
      <c r="V11">
        <v>274</v>
      </c>
      <c r="W11">
        <v>6053</v>
      </c>
      <c r="X11">
        <v>4863</v>
      </c>
      <c r="Y11">
        <v>162034</v>
      </c>
      <c r="Z11">
        <v>711</v>
      </c>
      <c r="AA11">
        <v>140181</v>
      </c>
      <c r="AB11">
        <v>64478</v>
      </c>
      <c r="AC11">
        <v>14187</v>
      </c>
      <c r="AD11">
        <v>61513</v>
      </c>
      <c r="AE11">
        <v>1806</v>
      </c>
      <c r="AF11">
        <v>823</v>
      </c>
      <c r="AG11">
        <v>529</v>
      </c>
      <c r="AH11">
        <v>455</v>
      </c>
      <c r="AI11">
        <v>12141</v>
      </c>
      <c r="AJ11">
        <v>251</v>
      </c>
      <c r="AK11">
        <v>1050</v>
      </c>
      <c r="AL11">
        <v>1053</v>
      </c>
      <c r="AM11">
        <v>5138</v>
      </c>
      <c r="AN11">
        <v>1615</v>
      </c>
      <c r="AO11">
        <v>666</v>
      </c>
      <c r="AP11">
        <v>281</v>
      </c>
      <c r="AQ11">
        <v>423</v>
      </c>
      <c r="AR11">
        <v>1661</v>
      </c>
      <c r="AS11">
        <v>22719</v>
      </c>
      <c r="AT11">
        <v>108</v>
      </c>
      <c r="AU11">
        <v>345</v>
      </c>
      <c r="AV11">
        <v>77</v>
      </c>
      <c r="AW11">
        <v>871</v>
      </c>
      <c r="AX11">
        <v>375</v>
      </c>
      <c r="AY11">
        <v>480</v>
      </c>
      <c r="AZ11">
        <v>1054</v>
      </c>
      <c r="BA11">
        <v>17943</v>
      </c>
      <c r="BB11">
        <v>1465</v>
      </c>
      <c r="BC11">
        <v>22210</v>
      </c>
      <c r="BD11">
        <v>1598</v>
      </c>
      <c r="BE11">
        <v>2416</v>
      </c>
      <c r="BF11">
        <v>248</v>
      </c>
      <c r="BG11">
        <v>3253</v>
      </c>
      <c r="BH11">
        <v>1888</v>
      </c>
      <c r="BI11">
        <v>3236</v>
      </c>
      <c r="BJ11">
        <v>3266</v>
      </c>
      <c r="BK11">
        <v>2624</v>
      </c>
      <c r="BL11">
        <v>3685</v>
      </c>
      <c r="BM11">
        <v>11863</v>
      </c>
      <c r="BN11">
        <v>190</v>
      </c>
      <c r="BO11">
        <v>173</v>
      </c>
      <c r="BP11">
        <v>183</v>
      </c>
      <c r="BQ11">
        <v>774</v>
      </c>
      <c r="BR11">
        <v>187</v>
      </c>
      <c r="BS11">
        <v>4293</v>
      </c>
      <c r="BT11">
        <v>659</v>
      </c>
      <c r="BU11">
        <v>5399</v>
      </c>
      <c r="BV11">
        <v>66414</v>
      </c>
      <c r="BW11">
        <v>439</v>
      </c>
      <c r="BX11">
        <v>1873</v>
      </c>
      <c r="BY11">
        <v>17</v>
      </c>
      <c r="BZ11">
        <v>59557</v>
      </c>
      <c r="CA11">
        <v>4530</v>
      </c>
      <c r="CB11">
        <v>523098</v>
      </c>
    </row>
    <row r="12" spans="1:80" s="3" customFormat="1" x14ac:dyDescent="0.2">
      <c r="A12" s="3" t="s">
        <v>160</v>
      </c>
      <c r="B12" s="3" t="s">
        <v>168</v>
      </c>
      <c r="C12" s="3">
        <v>13977</v>
      </c>
      <c r="D12" s="3">
        <v>121</v>
      </c>
      <c r="E12" s="3">
        <v>780</v>
      </c>
      <c r="F12" s="3">
        <v>1075</v>
      </c>
      <c r="G12" s="3">
        <v>1852</v>
      </c>
      <c r="H12" s="3">
        <v>1265</v>
      </c>
      <c r="I12" s="3">
        <v>2601</v>
      </c>
      <c r="J12" s="3">
        <v>483</v>
      </c>
      <c r="K12" s="3">
        <v>1975</v>
      </c>
      <c r="L12" s="3">
        <v>919</v>
      </c>
      <c r="M12" s="3">
        <v>2908</v>
      </c>
      <c r="N12" s="3">
        <v>3271</v>
      </c>
      <c r="O12" s="3">
        <v>2241</v>
      </c>
      <c r="P12" s="3">
        <v>1027</v>
      </c>
      <c r="Q12" s="3">
        <v>3206</v>
      </c>
      <c r="R12" s="3">
        <v>5</v>
      </c>
      <c r="S12" s="3">
        <v>88</v>
      </c>
      <c r="T12" s="3">
        <v>102</v>
      </c>
      <c r="U12" s="3">
        <v>816</v>
      </c>
      <c r="V12" s="3">
        <v>212</v>
      </c>
      <c r="W12" s="3">
        <v>99</v>
      </c>
      <c r="X12" s="3">
        <v>311</v>
      </c>
      <c r="Y12" s="3">
        <v>1017</v>
      </c>
      <c r="Z12" s="3">
        <v>551</v>
      </c>
      <c r="AA12" s="3">
        <v>23604</v>
      </c>
      <c r="AB12" s="3">
        <v>51</v>
      </c>
      <c r="AC12" s="3">
        <v>23315</v>
      </c>
      <c r="AD12" s="3">
        <v>238</v>
      </c>
      <c r="AE12" s="3">
        <v>700</v>
      </c>
      <c r="AF12" s="3">
        <v>61</v>
      </c>
      <c r="AG12" s="3">
        <v>596</v>
      </c>
      <c r="AH12" s="3">
        <v>44</v>
      </c>
      <c r="AI12" s="3">
        <v>27705</v>
      </c>
      <c r="AJ12" s="3">
        <v>2410</v>
      </c>
      <c r="AK12" s="3">
        <v>1567</v>
      </c>
      <c r="AL12" s="3">
        <v>997</v>
      </c>
      <c r="AM12" s="3">
        <v>11226</v>
      </c>
      <c r="AN12" s="3">
        <v>2938</v>
      </c>
      <c r="AO12" s="3">
        <v>1682</v>
      </c>
      <c r="AP12" s="3">
        <v>1958</v>
      </c>
      <c r="AQ12" s="3">
        <v>1947</v>
      </c>
      <c r="AR12" s="3">
        <v>2978</v>
      </c>
      <c r="AS12" s="3">
        <v>28223</v>
      </c>
      <c r="AT12" s="3">
        <v>164</v>
      </c>
      <c r="AU12" s="3">
        <v>3399</v>
      </c>
      <c r="AV12" s="3">
        <v>1305</v>
      </c>
      <c r="AW12" s="3">
        <v>2999</v>
      </c>
      <c r="AX12" s="3">
        <v>3577</v>
      </c>
      <c r="AY12" s="3">
        <v>3847</v>
      </c>
      <c r="AZ12" s="3">
        <v>2532</v>
      </c>
      <c r="BA12" s="3">
        <v>2691</v>
      </c>
      <c r="BB12" s="3">
        <v>7710</v>
      </c>
      <c r="BC12" s="3">
        <v>103332</v>
      </c>
      <c r="BD12" s="3">
        <v>4429</v>
      </c>
      <c r="BE12" s="3">
        <v>7665</v>
      </c>
      <c r="BF12" s="3">
        <v>595</v>
      </c>
      <c r="BG12" s="3">
        <v>14478</v>
      </c>
      <c r="BH12" s="3">
        <v>9773</v>
      </c>
      <c r="BI12" s="3">
        <v>14598</v>
      </c>
      <c r="BJ12" s="3">
        <v>13089</v>
      </c>
      <c r="BK12" s="3">
        <v>34412</v>
      </c>
      <c r="BL12" s="3">
        <v>4295</v>
      </c>
      <c r="BM12" s="3">
        <v>40365</v>
      </c>
      <c r="BN12" s="3">
        <v>1661</v>
      </c>
      <c r="BO12" s="3">
        <v>4276</v>
      </c>
      <c r="BP12" s="3">
        <v>1462</v>
      </c>
      <c r="BQ12" s="3">
        <v>8611</v>
      </c>
      <c r="BR12" s="3">
        <v>2202</v>
      </c>
      <c r="BS12" s="3">
        <v>6756</v>
      </c>
      <c r="BT12" s="3">
        <v>1853</v>
      </c>
      <c r="BU12" s="3">
        <v>13547</v>
      </c>
      <c r="BV12" s="3">
        <v>9962</v>
      </c>
      <c r="BW12" s="3">
        <v>4</v>
      </c>
      <c r="BX12" s="3">
        <v>41</v>
      </c>
      <c r="BY12" s="3">
        <v>7</v>
      </c>
      <c r="BZ12" s="3">
        <v>7468</v>
      </c>
      <c r="CA12" s="3">
        <v>2440</v>
      </c>
      <c r="CB12" s="3">
        <v>254345</v>
      </c>
    </row>
    <row r="13" spans="1:80" x14ac:dyDescent="0.2">
      <c r="A13" t="s">
        <v>161</v>
      </c>
      <c r="B13" t="s">
        <v>168</v>
      </c>
      <c r="C13">
        <v>14304</v>
      </c>
      <c r="D13">
        <v>155</v>
      </c>
      <c r="E13">
        <v>833</v>
      </c>
      <c r="F13">
        <v>1321</v>
      </c>
      <c r="G13">
        <v>1950</v>
      </c>
      <c r="H13">
        <v>1309</v>
      </c>
      <c r="I13">
        <v>2684</v>
      </c>
      <c r="J13">
        <v>460</v>
      </c>
      <c r="K13">
        <v>2057</v>
      </c>
      <c r="L13">
        <v>939</v>
      </c>
      <c r="M13">
        <v>2593</v>
      </c>
      <c r="N13">
        <v>3285</v>
      </c>
      <c r="O13">
        <v>2280</v>
      </c>
      <c r="P13">
        <v>1006</v>
      </c>
      <c r="Q13">
        <v>3544</v>
      </c>
      <c r="R13">
        <v>3</v>
      </c>
      <c r="S13">
        <v>111</v>
      </c>
      <c r="T13">
        <v>165</v>
      </c>
      <c r="U13">
        <v>836</v>
      </c>
      <c r="V13">
        <v>232</v>
      </c>
      <c r="W13">
        <v>91</v>
      </c>
      <c r="X13">
        <v>286</v>
      </c>
      <c r="Y13">
        <v>1221</v>
      </c>
      <c r="Z13">
        <v>597</v>
      </c>
      <c r="AA13">
        <v>29805</v>
      </c>
      <c r="AB13">
        <v>139</v>
      </c>
      <c r="AC13">
        <v>29365</v>
      </c>
      <c r="AD13">
        <v>303</v>
      </c>
      <c r="AE13">
        <v>702</v>
      </c>
      <c r="AF13">
        <v>56</v>
      </c>
      <c r="AG13">
        <v>591</v>
      </c>
      <c r="AH13">
        <v>53</v>
      </c>
      <c r="AI13">
        <v>28054</v>
      </c>
      <c r="AJ13">
        <v>2363</v>
      </c>
      <c r="AK13">
        <v>1578</v>
      </c>
      <c r="AL13">
        <v>1019</v>
      </c>
      <c r="AM13">
        <v>11138</v>
      </c>
      <c r="AN13">
        <v>3084</v>
      </c>
      <c r="AO13">
        <v>1640</v>
      </c>
      <c r="AP13">
        <v>2109</v>
      </c>
      <c r="AQ13">
        <v>1994</v>
      </c>
      <c r="AR13">
        <v>3131</v>
      </c>
      <c r="AS13">
        <v>28701</v>
      </c>
      <c r="AT13">
        <v>160</v>
      </c>
      <c r="AU13">
        <v>3580</v>
      </c>
      <c r="AV13">
        <v>1408</v>
      </c>
      <c r="AW13">
        <v>2935</v>
      </c>
      <c r="AX13">
        <v>3604</v>
      </c>
      <c r="AY13">
        <v>3794</v>
      </c>
      <c r="AZ13">
        <v>3059</v>
      </c>
      <c r="BA13">
        <v>2479</v>
      </c>
      <c r="BB13">
        <v>7685</v>
      </c>
      <c r="BC13">
        <v>117933</v>
      </c>
      <c r="BD13">
        <v>4763</v>
      </c>
      <c r="BE13">
        <v>8870</v>
      </c>
      <c r="BF13">
        <v>639</v>
      </c>
      <c r="BG13">
        <v>13380</v>
      </c>
      <c r="BH13">
        <v>10489</v>
      </c>
      <c r="BI13">
        <v>15584</v>
      </c>
      <c r="BJ13">
        <v>14637</v>
      </c>
      <c r="BK13">
        <v>37308</v>
      </c>
      <c r="BL13">
        <v>12266</v>
      </c>
      <c r="BM13">
        <v>40571</v>
      </c>
      <c r="BN13">
        <v>1629</v>
      </c>
      <c r="BO13">
        <v>4256</v>
      </c>
      <c r="BP13">
        <v>1537</v>
      </c>
      <c r="BQ13">
        <v>8736</v>
      </c>
      <c r="BR13">
        <v>2177</v>
      </c>
      <c r="BS13">
        <v>6544</v>
      </c>
      <c r="BT13">
        <v>1821</v>
      </c>
      <c r="BU13">
        <v>13867</v>
      </c>
      <c r="BV13">
        <v>21397</v>
      </c>
      <c r="BW13">
        <v>12</v>
      </c>
      <c r="BX13">
        <v>21</v>
      </c>
      <c r="BY13">
        <v>3</v>
      </c>
      <c r="BZ13">
        <v>6220</v>
      </c>
      <c r="CA13">
        <v>15140</v>
      </c>
      <c r="CB13">
        <v>288291</v>
      </c>
    </row>
    <row r="14" spans="1:80" x14ac:dyDescent="0.2">
      <c r="A14" t="s">
        <v>162</v>
      </c>
      <c r="B14" t="s">
        <v>168</v>
      </c>
      <c r="C14">
        <v>15132</v>
      </c>
      <c r="D14">
        <v>168</v>
      </c>
      <c r="E14">
        <v>822</v>
      </c>
      <c r="F14">
        <v>1420</v>
      </c>
      <c r="G14">
        <v>2013</v>
      </c>
      <c r="H14">
        <v>1479</v>
      </c>
      <c r="I14">
        <v>2647</v>
      </c>
      <c r="J14">
        <v>483</v>
      </c>
      <c r="K14">
        <v>2031</v>
      </c>
      <c r="L14">
        <v>1100</v>
      </c>
      <c r="M14">
        <v>2970</v>
      </c>
      <c r="N14">
        <v>3541</v>
      </c>
      <c r="O14">
        <v>2480</v>
      </c>
      <c r="P14">
        <v>1063</v>
      </c>
      <c r="Q14">
        <v>3985</v>
      </c>
      <c r="R14">
        <v>2</v>
      </c>
      <c r="S14">
        <v>115</v>
      </c>
      <c r="T14">
        <v>160</v>
      </c>
      <c r="U14">
        <v>1041</v>
      </c>
      <c r="V14">
        <v>284</v>
      </c>
      <c r="W14">
        <v>99</v>
      </c>
      <c r="X14">
        <v>316</v>
      </c>
      <c r="Y14">
        <v>1306</v>
      </c>
      <c r="Z14">
        <v>662</v>
      </c>
      <c r="AA14">
        <v>40512</v>
      </c>
      <c r="AB14">
        <v>178</v>
      </c>
      <c r="AC14">
        <v>39947</v>
      </c>
      <c r="AD14">
        <v>390</v>
      </c>
      <c r="AE14">
        <v>756</v>
      </c>
      <c r="AF14">
        <v>70</v>
      </c>
      <c r="AG14">
        <v>627</v>
      </c>
      <c r="AH14">
        <v>54</v>
      </c>
      <c r="AI14">
        <v>29837</v>
      </c>
      <c r="AJ14">
        <v>2507</v>
      </c>
      <c r="AK14">
        <v>1107</v>
      </c>
      <c r="AL14">
        <v>1111</v>
      </c>
      <c r="AM14">
        <v>11782</v>
      </c>
      <c r="AN14">
        <v>3595</v>
      </c>
      <c r="AO14">
        <v>1915</v>
      </c>
      <c r="AP14">
        <v>2460</v>
      </c>
      <c r="AQ14">
        <v>2196</v>
      </c>
      <c r="AR14">
        <v>3161</v>
      </c>
      <c r="AS14">
        <v>32443</v>
      </c>
      <c r="AT14">
        <v>154</v>
      </c>
      <c r="AU14">
        <v>3966</v>
      </c>
      <c r="AV14">
        <v>1596</v>
      </c>
      <c r="AW14">
        <v>3163</v>
      </c>
      <c r="AX14">
        <v>3816</v>
      </c>
      <c r="AY14">
        <v>4038</v>
      </c>
      <c r="AZ14">
        <v>3901</v>
      </c>
      <c r="BA14">
        <v>2775</v>
      </c>
      <c r="BB14">
        <v>9039</v>
      </c>
      <c r="BC14">
        <v>121404</v>
      </c>
      <c r="BD14">
        <v>5936</v>
      </c>
      <c r="BE14">
        <v>10484</v>
      </c>
      <c r="BF14">
        <v>751</v>
      </c>
      <c r="BG14">
        <v>14952</v>
      </c>
      <c r="BH14">
        <v>11907</v>
      </c>
      <c r="BI14">
        <v>17166</v>
      </c>
      <c r="BJ14">
        <v>16823</v>
      </c>
      <c r="BK14">
        <v>39091</v>
      </c>
      <c r="BL14">
        <v>4294</v>
      </c>
      <c r="BM14">
        <v>44299</v>
      </c>
      <c r="BN14">
        <v>1789</v>
      </c>
      <c r="BO14">
        <v>4874</v>
      </c>
      <c r="BP14">
        <v>1843</v>
      </c>
      <c r="BQ14">
        <v>9479</v>
      </c>
      <c r="BR14">
        <v>2324</v>
      </c>
      <c r="BS14">
        <v>7364</v>
      </c>
      <c r="BT14">
        <v>1934</v>
      </c>
      <c r="BU14">
        <v>14691</v>
      </c>
      <c r="BV14">
        <v>12140</v>
      </c>
      <c r="BW14">
        <v>5</v>
      </c>
      <c r="BX14">
        <v>30</v>
      </c>
      <c r="BY14">
        <v>7</v>
      </c>
      <c r="BZ14">
        <v>6385</v>
      </c>
      <c r="CA14">
        <v>5711</v>
      </c>
      <c r="CB14">
        <v>304050</v>
      </c>
    </row>
    <row r="15" spans="1:80" x14ac:dyDescent="0.2">
      <c r="A15" t="s">
        <v>163</v>
      </c>
      <c r="B15" t="s">
        <v>168</v>
      </c>
      <c r="C15">
        <v>16938</v>
      </c>
      <c r="D15">
        <v>145</v>
      </c>
      <c r="E15">
        <v>1029</v>
      </c>
      <c r="F15">
        <v>1477</v>
      </c>
      <c r="G15">
        <v>2034</v>
      </c>
      <c r="H15">
        <v>1916</v>
      </c>
      <c r="I15">
        <v>2806</v>
      </c>
      <c r="J15">
        <v>485</v>
      </c>
      <c r="K15">
        <v>2131</v>
      </c>
      <c r="L15">
        <v>1238</v>
      </c>
      <c r="M15">
        <v>3678</v>
      </c>
      <c r="N15">
        <v>3798</v>
      </c>
      <c r="O15">
        <v>2688</v>
      </c>
      <c r="P15">
        <v>1113</v>
      </c>
      <c r="Q15">
        <v>3138</v>
      </c>
      <c r="R15">
        <v>7</v>
      </c>
      <c r="S15">
        <v>127</v>
      </c>
      <c r="T15">
        <v>147</v>
      </c>
      <c r="U15">
        <v>801</v>
      </c>
      <c r="V15">
        <v>260</v>
      </c>
      <c r="W15">
        <v>98</v>
      </c>
      <c r="X15">
        <v>286</v>
      </c>
      <c r="Y15">
        <v>744</v>
      </c>
      <c r="Z15">
        <v>665</v>
      </c>
      <c r="AA15">
        <v>38794</v>
      </c>
      <c r="AB15">
        <v>203</v>
      </c>
      <c r="AC15">
        <v>38357</v>
      </c>
      <c r="AD15">
        <v>236</v>
      </c>
      <c r="AE15">
        <v>725</v>
      </c>
      <c r="AF15">
        <v>83</v>
      </c>
      <c r="AG15">
        <v>579</v>
      </c>
      <c r="AH15">
        <v>64</v>
      </c>
      <c r="AI15">
        <v>31024</v>
      </c>
      <c r="AJ15">
        <v>2260</v>
      </c>
      <c r="AK15">
        <v>1031</v>
      </c>
      <c r="AL15">
        <v>1084</v>
      </c>
      <c r="AM15">
        <v>13112</v>
      </c>
      <c r="AN15">
        <v>3865</v>
      </c>
      <c r="AO15">
        <v>2150</v>
      </c>
      <c r="AP15">
        <v>2211</v>
      </c>
      <c r="AQ15">
        <v>2226</v>
      </c>
      <c r="AR15">
        <v>3090</v>
      </c>
      <c r="AS15">
        <v>32286</v>
      </c>
      <c r="AT15">
        <v>143</v>
      </c>
      <c r="AU15">
        <v>4242</v>
      </c>
      <c r="AV15">
        <v>1517</v>
      </c>
      <c r="AW15">
        <v>3336</v>
      </c>
      <c r="AX15">
        <v>3834</v>
      </c>
      <c r="AY15">
        <v>4110</v>
      </c>
      <c r="AZ15">
        <v>3271</v>
      </c>
      <c r="BA15">
        <v>2874</v>
      </c>
      <c r="BB15">
        <v>8957</v>
      </c>
      <c r="BC15">
        <v>123286</v>
      </c>
      <c r="BD15">
        <v>6310</v>
      </c>
      <c r="BE15">
        <v>10688</v>
      </c>
      <c r="BF15">
        <v>864</v>
      </c>
      <c r="BG15">
        <v>15646</v>
      </c>
      <c r="BH15">
        <v>11737</v>
      </c>
      <c r="BI15">
        <v>17648</v>
      </c>
      <c r="BJ15">
        <v>17451</v>
      </c>
      <c r="BK15">
        <v>37286</v>
      </c>
      <c r="BL15">
        <v>5660</v>
      </c>
      <c r="BM15">
        <v>46308</v>
      </c>
      <c r="BN15">
        <v>1742</v>
      </c>
      <c r="BO15">
        <v>4983</v>
      </c>
      <c r="BP15">
        <v>1886</v>
      </c>
      <c r="BQ15">
        <v>10205</v>
      </c>
      <c r="BR15">
        <v>2564</v>
      </c>
      <c r="BS15">
        <v>7726</v>
      </c>
      <c r="BT15">
        <v>2078</v>
      </c>
      <c r="BU15">
        <v>15133</v>
      </c>
      <c r="BV15">
        <v>11251</v>
      </c>
      <c r="BW15">
        <v>5</v>
      </c>
      <c r="BX15">
        <v>33</v>
      </c>
      <c r="BY15">
        <v>2</v>
      </c>
      <c r="BZ15">
        <v>6772</v>
      </c>
      <c r="CA15">
        <v>4434</v>
      </c>
      <c r="CB15">
        <v>307549</v>
      </c>
    </row>
    <row r="16" spans="1:80" x14ac:dyDescent="0.2">
      <c r="A16" t="s">
        <v>164</v>
      </c>
      <c r="B16" t="s">
        <v>168</v>
      </c>
      <c r="C16">
        <v>17607</v>
      </c>
      <c r="D16">
        <v>157</v>
      </c>
      <c r="E16">
        <v>905</v>
      </c>
      <c r="F16">
        <v>1589</v>
      </c>
      <c r="G16">
        <v>1882</v>
      </c>
      <c r="H16">
        <v>2088</v>
      </c>
      <c r="I16">
        <v>3107</v>
      </c>
      <c r="J16">
        <v>489</v>
      </c>
      <c r="K16">
        <v>2208</v>
      </c>
      <c r="L16">
        <v>1355</v>
      </c>
      <c r="M16">
        <v>3824</v>
      </c>
      <c r="N16">
        <v>3475</v>
      </c>
      <c r="O16">
        <v>2585</v>
      </c>
      <c r="P16">
        <v>891</v>
      </c>
      <c r="Q16">
        <v>3257</v>
      </c>
      <c r="R16">
        <v>7</v>
      </c>
      <c r="S16">
        <v>141</v>
      </c>
      <c r="T16">
        <v>122</v>
      </c>
      <c r="U16">
        <v>801</v>
      </c>
      <c r="V16">
        <v>240</v>
      </c>
      <c r="W16">
        <v>97</v>
      </c>
      <c r="X16">
        <v>298</v>
      </c>
      <c r="Y16">
        <v>870</v>
      </c>
      <c r="Z16">
        <v>686</v>
      </c>
      <c r="AA16">
        <v>23108</v>
      </c>
      <c r="AB16">
        <v>148</v>
      </c>
      <c r="AC16">
        <v>22720</v>
      </c>
      <c r="AD16">
        <v>242</v>
      </c>
      <c r="AE16">
        <v>766</v>
      </c>
      <c r="AF16">
        <v>85</v>
      </c>
      <c r="AG16">
        <v>627</v>
      </c>
      <c r="AH16">
        <v>55</v>
      </c>
      <c r="AI16">
        <v>33291</v>
      </c>
      <c r="AJ16">
        <v>2668</v>
      </c>
      <c r="AK16">
        <v>1043</v>
      </c>
      <c r="AL16">
        <v>1084</v>
      </c>
      <c r="AM16">
        <v>13802</v>
      </c>
      <c r="AN16">
        <v>3970</v>
      </c>
      <c r="AO16">
        <v>2122</v>
      </c>
      <c r="AP16">
        <v>2138</v>
      </c>
      <c r="AQ16">
        <v>2294</v>
      </c>
      <c r="AR16">
        <v>4167</v>
      </c>
      <c r="AS16">
        <v>34399</v>
      </c>
      <c r="AT16">
        <v>135</v>
      </c>
      <c r="AU16">
        <v>4089</v>
      </c>
      <c r="AV16">
        <v>1419</v>
      </c>
      <c r="AW16">
        <v>3274</v>
      </c>
      <c r="AX16">
        <v>5896</v>
      </c>
      <c r="AY16">
        <v>3869</v>
      </c>
      <c r="AZ16">
        <v>3134</v>
      </c>
      <c r="BA16">
        <v>3596</v>
      </c>
      <c r="BB16">
        <v>8988</v>
      </c>
      <c r="BC16">
        <v>119746</v>
      </c>
      <c r="BD16">
        <v>5691</v>
      </c>
      <c r="BE16">
        <v>10600</v>
      </c>
      <c r="BF16">
        <v>751</v>
      </c>
      <c r="BG16">
        <v>15673</v>
      </c>
      <c r="BH16">
        <v>12455</v>
      </c>
      <c r="BI16">
        <v>17588</v>
      </c>
      <c r="BJ16">
        <v>17885</v>
      </c>
      <c r="BK16">
        <v>33502</v>
      </c>
      <c r="BL16">
        <v>5595</v>
      </c>
      <c r="BM16">
        <v>46038</v>
      </c>
      <c r="BN16">
        <v>1726</v>
      </c>
      <c r="BO16">
        <v>5224</v>
      </c>
      <c r="BP16">
        <v>1512</v>
      </c>
      <c r="BQ16">
        <v>10186</v>
      </c>
      <c r="BR16">
        <v>2107</v>
      </c>
      <c r="BS16">
        <v>7758</v>
      </c>
      <c r="BT16">
        <v>1879</v>
      </c>
      <c r="BU16">
        <v>15649</v>
      </c>
      <c r="BV16">
        <v>11914</v>
      </c>
      <c r="BW16">
        <v>2</v>
      </c>
      <c r="BX16">
        <v>60</v>
      </c>
      <c r="BY16">
        <v>12</v>
      </c>
      <c r="BZ16">
        <v>9208</v>
      </c>
      <c r="CA16">
        <v>2632</v>
      </c>
      <c r="CB16">
        <v>293603</v>
      </c>
    </row>
    <row r="17" spans="1:80" x14ac:dyDescent="0.2">
      <c r="A17" t="s">
        <v>165</v>
      </c>
      <c r="B17" t="s">
        <v>168</v>
      </c>
      <c r="C17">
        <v>16410</v>
      </c>
      <c r="D17">
        <v>156</v>
      </c>
      <c r="E17">
        <v>966</v>
      </c>
      <c r="F17">
        <v>1438</v>
      </c>
      <c r="G17">
        <v>1874</v>
      </c>
      <c r="H17">
        <v>1727</v>
      </c>
      <c r="I17">
        <v>2837</v>
      </c>
      <c r="J17">
        <v>491</v>
      </c>
      <c r="K17">
        <v>2164</v>
      </c>
      <c r="L17">
        <v>1220</v>
      </c>
      <c r="M17">
        <v>3535</v>
      </c>
      <c r="N17">
        <v>3449</v>
      </c>
      <c r="O17">
        <v>2744</v>
      </c>
      <c r="P17">
        <v>704</v>
      </c>
      <c r="Q17">
        <v>4247</v>
      </c>
      <c r="R17">
        <v>2</v>
      </c>
      <c r="S17">
        <v>102</v>
      </c>
      <c r="T17">
        <v>134</v>
      </c>
      <c r="U17">
        <v>1051</v>
      </c>
      <c r="V17">
        <v>281</v>
      </c>
      <c r="W17">
        <v>115</v>
      </c>
      <c r="X17">
        <v>426</v>
      </c>
      <c r="Y17">
        <v>1425</v>
      </c>
      <c r="Z17">
        <v>712</v>
      </c>
      <c r="AA17">
        <v>34552</v>
      </c>
      <c r="AB17">
        <v>200</v>
      </c>
      <c r="AC17">
        <v>34044</v>
      </c>
      <c r="AD17">
        <v>310</v>
      </c>
      <c r="AE17">
        <v>831</v>
      </c>
      <c r="AF17">
        <v>90</v>
      </c>
      <c r="AG17">
        <v>680</v>
      </c>
      <c r="AH17">
        <v>61</v>
      </c>
      <c r="AI17">
        <v>37021</v>
      </c>
      <c r="AJ17">
        <v>3051</v>
      </c>
      <c r="AK17">
        <v>1286</v>
      </c>
      <c r="AL17">
        <v>1152</v>
      </c>
      <c r="AM17">
        <v>14770</v>
      </c>
      <c r="AN17">
        <v>3861</v>
      </c>
      <c r="AO17">
        <v>3289</v>
      </c>
      <c r="AP17">
        <v>2677</v>
      </c>
      <c r="AQ17">
        <v>2448</v>
      </c>
      <c r="AR17">
        <v>4490</v>
      </c>
      <c r="AS17">
        <v>36977</v>
      </c>
      <c r="AT17">
        <v>174</v>
      </c>
      <c r="AU17">
        <v>4349</v>
      </c>
      <c r="AV17">
        <v>1678</v>
      </c>
      <c r="AW17">
        <v>3217</v>
      </c>
      <c r="AX17">
        <v>4692</v>
      </c>
      <c r="AY17">
        <v>4281</v>
      </c>
      <c r="AZ17">
        <v>4050</v>
      </c>
      <c r="BA17">
        <v>4056</v>
      </c>
      <c r="BB17">
        <v>10479</v>
      </c>
      <c r="BC17">
        <v>135405</v>
      </c>
      <c r="BD17">
        <v>5352</v>
      </c>
      <c r="BE17">
        <v>12971</v>
      </c>
      <c r="BF17">
        <v>971</v>
      </c>
      <c r="BG17">
        <v>16935</v>
      </c>
      <c r="BH17">
        <v>13204</v>
      </c>
      <c r="BI17">
        <v>17682</v>
      </c>
      <c r="BJ17">
        <v>19654</v>
      </c>
      <c r="BK17">
        <v>42876</v>
      </c>
      <c r="BL17">
        <v>5759</v>
      </c>
      <c r="BM17">
        <v>50131</v>
      </c>
      <c r="BN17">
        <v>1958</v>
      </c>
      <c r="BO17">
        <v>5647</v>
      </c>
      <c r="BP17">
        <v>1632</v>
      </c>
      <c r="BQ17">
        <v>10984</v>
      </c>
      <c r="BR17">
        <v>2411</v>
      </c>
      <c r="BS17">
        <v>8175</v>
      </c>
      <c r="BT17">
        <v>2067</v>
      </c>
      <c r="BU17">
        <v>17260</v>
      </c>
      <c r="BV17">
        <v>11211</v>
      </c>
      <c r="BW17">
        <v>4</v>
      </c>
      <c r="BX17">
        <v>56</v>
      </c>
      <c r="BY17">
        <v>11</v>
      </c>
      <c r="BZ17">
        <v>6525</v>
      </c>
      <c r="CA17">
        <v>4615</v>
      </c>
      <c r="CB17">
        <v>330234</v>
      </c>
    </row>
    <row r="18" spans="1:80" x14ac:dyDescent="0.2">
      <c r="A18" t="s">
        <v>166</v>
      </c>
      <c r="B18" t="s">
        <v>168</v>
      </c>
      <c r="C18">
        <v>19518</v>
      </c>
      <c r="D18">
        <v>167</v>
      </c>
      <c r="E18">
        <v>1070</v>
      </c>
      <c r="F18">
        <v>1809</v>
      </c>
      <c r="G18">
        <v>2449</v>
      </c>
      <c r="H18">
        <v>2011</v>
      </c>
      <c r="I18">
        <v>3163</v>
      </c>
      <c r="J18">
        <v>565</v>
      </c>
      <c r="K18">
        <v>2566</v>
      </c>
      <c r="L18">
        <v>1660</v>
      </c>
      <c r="M18">
        <v>4063</v>
      </c>
      <c r="N18">
        <v>3850</v>
      </c>
      <c r="O18">
        <v>3170</v>
      </c>
      <c r="P18">
        <v>682</v>
      </c>
      <c r="Q18">
        <v>4653</v>
      </c>
      <c r="R18">
        <v>4</v>
      </c>
      <c r="S18">
        <v>135</v>
      </c>
      <c r="T18">
        <v>148</v>
      </c>
      <c r="U18">
        <v>1444</v>
      </c>
      <c r="V18">
        <v>365</v>
      </c>
      <c r="W18">
        <v>125</v>
      </c>
      <c r="X18">
        <v>604</v>
      </c>
      <c r="Y18">
        <v>945</v>
      </c>
      <c r="Z18">
        <v>881</v>
      </c>
      <c r="AA18">
        <v>65806</v>
      </c>
      <c r="AB18">
        <v>375</v>
      </c>
      <c r="AC18">
        <v>65082</v>
      </c>
      <c r="AD18">
        <v>352</v>
      </c>
      <c r="AE18">
        <v>1094</v>
      </c>
      <c r="AF18">
        <v>128</v>
      </c>
      <c r="AG18">
        <v>888</v>
      </c>
      <c r="AH18">
        <v>76</v>
      </c>
      <c r="AI18">
        <v>51393</v>
      </c>
      <c r="AJ18">
        <v>3755</v>
      </c>
      <c r="AK18">
        <v>3401</v>
      </c>
      <c r="AL18">
        <v>1267</v>
      </c>
      <c r="AM18">
        <v>19106</v>
      </c>
      <c r="AN18">
        <v>4657</v>
      </c>
      <c r="AO18">
        <v>5706</v>
      </c>
      <c r="AP18">
        <v>3148</v>
      </c>
      <c r="AQ18">
        <v>2866</v>
      </c>
      <c r="AR18">
        <v>7484</v>
      </c>
      <c r="AS18">
        <v>44021</v>
      </c>
      <c r="AT18">
        <v>202</v>
      </c>
      <c r="AU18">
        <v>5123</v>
      </c>
      <c r="AV18">
        <v>2045</v>
      </c>
      <c r="AW18">
        <v>3802</v>
      </c>
      <c r="AX18">
        <v>5323</v>
      </c>
      <c r="AY18">
        <v>4835</v>
      </c>
      <c r="AZ18">
        <v>5214</v>
      </c>
      <c r="BA18">
        <v>5023</v>
      </c>
      <c r="BB18">
        <v>12450</v>
      </c>
      <c r="BC18">
        <v>156900</v>
      </c>
      <c r="BD18">
        <v>6250</v>
      </c>
      <c r="BE18">
        <v>15810</v>
      </c>
      <c r="BF18">
        <v>1095</v>
      </c>
      <c r="BG18">
        <v>19875</v>
      </c>
      <c r="BH18">
        <v>14727</v>
      </c>
      <c r="BI18">
        <v>20341</v>
      </c>
      <c r="BJ18">
        <v>23299</v>
      </c>
      <c r="BK18">
        <v>50050</v>
      </c>
      <c r="BL18">
        <v>5454</v>
      </c>
      <c r="BM18">
        <v>57476</v>
      </c>
      <c r="BN18">
        <v>2136</v>
      </c>
      <c r="BO18">
        <v>6266</v>
      </c>
      <c r="BP18">
        <v>2203</v>
      </c>
      <c r="BQ18">
        <v>12829</v>
      </c>
      <c r="BR18">
        <v>3104</v>
      </c>
      <c r="BS18">
        <v>9104</v>
      </c>
      <c r="BT18">
        <v>2481</v>
      </c>
      <c r="BU18">
        <v>19352</v>
      </c>
      <c r="BV18">
        <v>12292</v>
      </c>
      <c r="BW18">
        <v>3</v>
      </c>
      <c r="BX18">
        <v>80</v>
      </c>
      <c r="BY18">
        <v>17</v>
      </c>
      <c r="BZ18">
        <v>6959</v>
      </c>
      <c r="CA18">
        <v>5229</v>
      </c>
      <c r="CB18">
        <v>417002</v>
      </c>
    </row>
    <row r="19" spans="1:80" x14ac:dyDescent="0.2">
      <c r="A19" t="s">
        <v>167</v>
      </c>
      <c r="B19" t="s">
        <v>168</v>
      </c>
      <c r="C19">
        <v>19684</v>
      </c>
      <c r="D19">
        <v>212</v>
      </c>
      <c r="E19">
        <v>1035</v>
      </c>
      <c r="F19">
        <v>2034</v>
      </c>
      <c r="G19">
        <v>2230</v>
      </c>
      <c r="H19">
        <v>2136</v>
      </c>
      <c r="I19">
        <v>3366</v>
      </c>
      <c r="J19">
        <v>611</v>
      </c>
      <c r="K19">
        <v>2582</v>
      </c>
      <c r="L19">
        <v>1438</v>
      </c>
      <c r="M19">
        <v>4035</v>
      </c>
      <c r="N19">
        <v>3518</v>
      </c>
      <c r="O19">
        <v>2928</v>
      </c>
      <c r="P19">
        <v>588</v>
      </c>
      <c r="Q19">
        <v>3931</v>
      </c>
      <c r="R19">
        <v>2</v>
      </c>
      <c r="S19">
        <v>120</v>
      </c>
      <c r="T19">
        <v>130</v>
      </c>
      <c r="U19">
        <v>841</v>
      </c>
      <c r="V19">
        <v>280</v>
      </c>
      <c r="W19">
        <v>119</v>
      </c>
      <c r="X19">
        <v>478</v>
      </c>
      <c r="Y19">
        <v>1019</v>
      </c>
      <c r="Z19">
        <v>942</v>
      </c>
      <c r="AA19">
        <v>60651</v>
      </c>
      <c r="AB19">
        <v>306</v>
      </c>
      <c r="AC19">
        <v>60057</v>
      </c>
      <c r="AD19">
        <v>293</v>
      </c>
      <c r="AE19">
        <v>988</v>
      </c>
      <c r="AF19">
        <v>161</v>
      </c>
      <c r="AG19">
        <v>750</v>
      </c>
      <c r="AH19">
        <v>78</v>
      </c>
      <c r="AI19">
        <v>42831</v>
      </c>
      <c r="AJ19">
        <v>2720</v>
      </c>
      <c r="AK19">
        <v>2830</v>
      </c>
      <c r="AL19">
        <v>1148</v>
      </c>
      <c r="AM19">
        <v>17000</v>
      </c>
      <c r="AN19">
        <v>5168</v>
      </c>
      <c r="AO19">
        <v>3561</v>
      </c>
      <c r="AP19">
        <v>2728</v>
      </c>
      <c r="AQ19">
        <v>2703</v>
      </c>
      <c r="AR19">
        <v>4973</v>
      </c>
      <c r="AS19">
        <v>40640</v>
      </c>
      <c r="AT19">
        <v>176</v>
      </c>
      <c r="AU19">
        <v>5189</v>
      </c>
      <c r="AV19">
        <v>1733</v>
      </c>
      <c r="AW19">
        <v>3827</v>
      </c>
      <c r="AX19">
        <v>4277</v>
      </c>
      <c r="AY19">
        <v>4605</v>
      </c>
      <c r="AZ19">
        <v>4746</v>
      </c>
      <c r="BA19">
        <v>4174</v>
      </c>
      <c r="BB19">
        <v>11917</v>
      </c>
      <c r="BC19">
        <v>173355</v>
      </c>
      <c r="BD19">
        <v>7368</v>
      </c>
      <c r="BE19">
        <v>18321</v>
      </c>
      <c r="BF19">
        <v>1171</v>
      </c>
      <c r="BG19">
        <v>20852</v>
      </c>
      <c r="BH19">
        <v>12531</v>
      </c>
      <c r="BI19">
        <v>20204</v>
      </c>
      <c r="BJ19">
        <v>23989</v>
      </c>
      <c r="BK19">
        <v>62922</v>
      </c>
      <c r="BL19">
        <v>5995</v>
      </c>
      <c r="BM19">
        <v>55698</v>
      </c>
      <c r="BN19">
        <v>1960</v>
      </c>
      <c r="BO19">
        <v>5336</v>
      </c>
      <c r="BP19">
        <v>2249</v>
      </c>
      <c r="BQ19">
        <v>12165</v>
      </c>
      <c r="BR19">
        <v>2886</v>
      </c>
      <c r="BS19">
        <v>10010</v>
      </c>
      <c r="BT19">
        <v>2601</v>
      </c>
      <c r="BU19">
        <v>18494</v>
      </c>
      <c r="BV19">
        <v>12575</v>
      </c>
      <c r="BW19">
        <v>6</v>
      </c>
      <c r="BX19">
        <v>66</v>
      </c>
      <c r="BY19">
        <v>19</v>
      </c>
      <c r="BZ19">
        <v>8565</v>
      </c>
      <c r="CA19">
        <v>3917</v>
      </c>
      <c r="CB19">
        <v>413869</v>
      </c>
    </row>
    <row r="20" spans="1:80" x14ac:dyDescent="0.2">
      <c r="A20" t="s">
        <v>247</v>
      </c>
      <c r="B20" t="s">
        <v>168</v>
      </c>
      <c r="C20">
        <v>22293</v>
      </c>
      <c r="D20">
        <v>201</v>
      </c>
      <c r="E20">
        <v>1251</v>
      </c>
      <c r="F20">
        <v>1935</v>
      </c>
      <c r="G20">
        <v>2405</v>
      </c>
      <c r="H20">
        <v>2526</v>
      </c>
      <c r="I20">
        <v>3913</v>
      </c>
      <c r="J20">
        <v>688</v>
      </c>
      <c r="K20">
        <v>3250</v>
      </c>
      <c r="L20">
        <v>1647</v>
      </c>
      <c r="M20">
        <v>4477</v>
      </c>
      <c r="N20">
        <v>3349</v>
      </c>
      <c r="O20">
        <v>2906</v>
      </c>
      <c r="P20">
        <v>441</v>
      </c>
      <c r="Q20">
        <v>4119</v>
      </c>
      <c r="R20">
        <v>6</v>
      </c>
      <c r="S20">
        <v>151</v>
      </c>
      <c r="T20">
        <v>141</v>
      </c>
      <c r="U20">
        <v>917</v>
      </c>
      <c r="V20">
        <v>276</v>
      </c>
      <c r="W20">
        <v>121</v>
      </c>
      <c r="X20">
        <v>362</v>
      </c>
      <c r="Y20">
        <v>1143</v>
      </c>
      <c r="Z20">
        <v>1006</v>
      </c>
      <c r="AA20">
        <v>56749</v>
      </c>
      <c r="AB20">
        <v>260</v>
      </c>
      <c r="AC20">
        <v>56183</v>
      </c>
      <c r="AD20">
        <v>306</v>
      </c>
      <c r="AE20">
        <v>1257</v>
      </c>
      <c r="AF20">
        <v>204</v>
      </c>
      <c r="AG20">
        <v>973</v>
      </c>
      <c r="AH20">
        <v>78</v>
      </c>
      <c r="AI20">
        <v>45032</v>
      </c>
      <c r="AJ20">
        <v>2723</v>
      </c>
      <c r="AK20">
        <v>2683</v>
      </c>
      <c r="AL20">
        <v>1265</v>
      </c>
      <c r="AM20">
        <v>17012</v>
      </c>
      <c r="AN20">
        <v>5568</v>
      </c>
      <c r="AO20">
        <v>4652</v>
      </c>
      <c r="AP20">
        <v>2957</v>
      </c>
      <c r="AQ20">
        <v>2840</v>
      </c>
      <c r="AR20">
        <v>5337</v>
      </c>
      <c r="AS20">
        <v>43611</v>
      </c>
      <c r="AT20">
        <v>151</v>
      </c>
      <c r="AU20">
        <v>5553</v>
      </c>
      <c r="AV20">
        <v>1776</v>
      </c>
      <c r="AW20">
        <v>4210</v>
      </c>
      <c r="AX20">
        <v>4547</v>
      </c>
      <c r="AY20">
        <v>4461</v>
      </c>
      <c r="AZ20">
        <v>5952</v>
      </c>
      <c r="BA20">
        <v>4285</v>
      </c>
      <c r="BB20">
        <v>12677</v>
      </c>
      <c r="BC20">
        <v>180686</v>
      </c>
      <c r="BD20">
        <v>7929</v>
      </c>
      <c r="BE20">
        <v>15321</v>
      </c>
      <c r="BF20">
        <v>1101</v>
      </c>
      <c r="BG20">
        <v>23737</v>
      </c>
      <c r="BH20">
        <v>14902</v>
      </c>
      <c r="BI20">
        <v>20144</v>
      </c>
      <c r="BJ20">
        <v>28336</v>
      </c>
      <c r="BK20">
        <v>62025</v>
      </c>
      <c r="BL20">
        <v>7195</v>
      </c>
      <c r="BM20">
        <v>59310</v>
      </c>
      <c r="BN20">
        <v>1973</v>
      </c>
      <c r="BO20">
        <v>5994</v>
      </c>
      <c r="BP20">
        <v>2216</v>
      </c>
      <c r="BQ20">
        <v>12814</v>
      </c>
      <c r="BR20">
        <v>2948</v>
      </c>
      <c r="BS20">
        <v>10288</v>
      </c>
      <c r="BT20">
        <v>2713</v>
      </c>
      <c r="BU20">
        <v>20362</v>
      </c>
      <c r="BV20">
        <v>13470</v>
      </c>
      <c r="BW20">
        <v>1</v>
      </c>
      <c r="BX20">
        <v>57</v>
      </c>
      <c r="BY20">
        <v>18</v>
      </c>
      <c r="BZ20">
        <v>9876</v>
      </c>
      <c r="CA20">
        <v>3513</v>
      </c>
      <c r="CB20">
        <v>429873</v>
      </c>
    </row>
    <row r="21" spans="1:80" x14ac:dyDescent="0.2">
      <c r="A21" t="s">
        <v>248</v>
      </c>
      <c r="B21" t="s">
        <v>168</v>
      </c>
      <c r="C21">
        <v>24515</v>
      </c>
      <c r="D21">
        <v>190</v>
      </c>
      <c r="E21">
        <v>1252</v>
      </c>
      <c r="F21">
        <v>2295</v>
      </c>
      <c r="G21">
        <v>2548</v>
      </c>
      <c r="H21">
        <v>2618</v>
      </c>
      <c r="I21">
        <v>4138</v>
      </c>
      <c r="J21">
        <v>715</v>
      </c>
      <c r="K21">
        <v>4510</v>
      </c>
      <c r="L21">
        <v>1518</v>
      </c>
      <c r="M21">
        <v>4731</v>
      </c>
      <c r="N21">
        <v>3378</v>
      </c>
      <c r="O21">
        <v>2913</v>
      </c>
      <c r="P21">
        <v>463</v>
      </c>
      <c r="Q21">
        <v>5285</v>
      </c>
      <c r="R21">
        <v>7</v>
      </c>
      <c r="S21">
        <v>145</v>
      </c>
      <c r="T21">
        <v>142</v>
      </c>
      <c r="U21">
        <v>953</v>
      </c>
      <c r="V21">
        <v>270</v>
      </c>
      <c r="W21">
        <v>127</v>
      </c>
      <c r="X21">
        <v>481</v>
      </c>
      <c r="Y21">
        <v>2129</v>
      </c>
      <c r="Z21">
        <v>1030</v>
      </c>
      <c r="AA21">
        <v>53258</v>
      </c>
      <c r="AB21">
        <v>197</v>
      </c>
      <c r="AC21">
        <v>52742</v>
      </c>
      <c r="AD21">
        <v>317</v>
      </c>
      <c r="AE21">
        <v>1282</v>
      </c>
      <c r="AF21">
        <v>135</v>
      </c>
      <c r="AG21">
        <v>1052</v>
      </c>
      <c r="AH21">
        <v>94</v>
      </c>
      <c r="AI21">
        <v>47675</v>
      </c>
      <c r="AJ21">
        <v>2807</v>
      </c>
      <c r="AK21">
        <v>2888</v>
      </c>
      <c r="AL21">
        <v>1234</v>
      </c>
      <c r="AM21">
        <v>18490</v>
      </c>
      <c r="AN21">
        <v>5842</v>
      </c>
      <c r="AO21">
        <v>5109</v>
      </c>
      <c r="AP21">
        <v>2795</v>
      </c>
      <c r="AQ21">
        <v>3004</v>
      </c>
      <c r="AR21">
        <v>5504</v>
      </c>
      <c r="AS21">
        <v>45872</v>
      </c>
      <c r="AT21">
        <v>150</v>
      </c>
      <c r="AU21">
        <v>5746</v>
      </c>
      <c r="AV21">
        <v>1879</v>
      </c>
      <c r="AW21">
        <v>4117</v>
      </c>
      <c r="AX21">
        <v>4729</v>
      </c>
      <c r="AY21">
        <v>4671</v>
      </c>
      <c r="AZ21">
        <v>5364</v>
      </c>
      <c r="BA21">
        <v>5583</v>
      </c>
      <c r="BB21">
        <v>13641</v>
      </c>
      <c r="BC21">
        <v>190956</v>
      </c>
      <c r="BD21">
        <v>8883</v>
      </c>
      <c r="BE21">
        <v>14643</v>
      </c>
      <c r="BF21">
        <v>1058</v>
      </c>
      <c r="BG21">
        <v>23637</v>
      </c>
      <c r="BH21">
        <v>19183</v>
      </c>
      <c r="BI21">
        <v>21727</v>
      </c>
      <c r="BJ21">
        <v>32803</v>
      </c>
      <c r="BK21">
        <v>59473</v>
      </c>
      <c r="BL21">
        <v>9546</v>
      </c>
      <c r="BM21">
        <v>63028</v>
      </c>
      <c r="BN21">
        <v>2011</v>
      </c>
      <c r="BO21">
        <v>6346</v>
      </c>
      <c r="BP21">
        <v>2225</v>
      </c>
      <c r="BQ21">
        <v>13100</v>
      </c>
      <c r="BR21">
        <v>3120</v>
      </c>
      <c r="BS21">
        <v>10829</v>
      </c>
      <c r="BT21">
        <v>2808</v>
      </c>
      <c r="BU21">
        <v>22590</v>
      </c>
      <c r="BV21">
        <v>25622</v>
      </c>
      <c r="BW21">
        <v>6</v>
      </c>
      <c r="BX21">
        <v>71</v>
      </c>
      <c r="BY21">
        <v>22</v>
      </c>
      <c r="BZ21">
        <v>20614</v>
      </c>
      <c r="CA21">
        <v>4904</v>
      </c>
      <c r="CB21">
        <v>460866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394F1-A261-8E49-B0EA-3527062D4257}">
  <dimension ref="A1:CB21"/>
  <sheetViews>
    <sheetView topLeftCell="BT1" workbookViewId="0">
      <selection sqref="A1:XFD1"/>
    </sheetView>
  </sheetViews>
  <sheetFormatPr baseColWidth="10" defaultRowHeight="15" x14ac:dyDescent="0.2"/>
  <sheetData>
    <row r="1" spans="1:80" x14ac:dyDescent="0.2">
      <c r="A1" t="s">
        <v>252</v>
      </c>
      <c r="B1" s="3" t="s">
        <v>253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">
      <c r="A2" t="s">
        <v>160</v>
      </c>
      <c r="B2" s="3" t="s">
        <v>0</v>
      </c>
      <c r="C2" s="5">
        <v>0.12620855886005672</v>
      </c>
      <c r="D2" s="4">
        <v>5.7447656417645078E-2</v>
      </c>
      <c r="E2" s="4">
        <v>0.33990374298764597</v>
      </c>
      <c r="F2" s="4">
        <v>6.7686459642561536E-2</v>
      </c>
      <c r="G2" s="4">
        <v>4.2273382177125167E-2</v>
      </c>
      <c r="H2" s="4">
        <v>0.23236565402654732</v>
      </c>
      <c r="I2" s="4">
        <v>0.12731062812298827</v>
      </c>
      <c r="J2" s="4">
        <v>9.7789767327794985E-3</v>
      </c>
      <c r="K2" s="4">
        <v>1.1127801109714602E-2</v>
      </c>
      <c r="L2" s="4">
        <v>3.5989086784586614E-2</v>
      </c>
      <c r="M2" s="4">
        <v>7.5963336501026948E-2</v>
      </c>
      <c r="N2" s="5">
        <v>1.036487934723313E-2</v>
      </c>
      <c r="O2" s="4">
        <v>0.97424412094064949</v>
      </c>
      <c r="P2" s="4">
        <v>2.5382605449794701E-2</v>
      </c>
      <c r="Q2" s="5">
        <v>0.32352429111421488</v>
      </c>
      <c r="R2" s="4">
        <v>9.8898602025806921E-3</v>
      </c>
      <c r="S2" s="4">
        <v>1.6921586682771075E-2</v>
      </c>
      <c r="T2" s="4">
        <v>8.3711029526075987E-5</v>
      </c>
      <c r="U2" s="4">
        <v>2.1154973033089775E-2</v>
      </c>
      <c r="V2" s="4">
        <v>2.8940098779014841E-3</v>
      </c>
      <c r="W2" s="4">
        <v>5.6469068774590112E-2</v>
      </c>
      <c r="X2" s="4">
        <v>7.9525478049772193E-3</v>
      </c>
      <c r="Y2" s="4">
        <v>0.87889405771277551</v>
      </c>
      <c r="Z2" s="4">
        <v>5.6923500077731672E-3</v>
      </c>
      <c r="AA2" s="5">
        <v>0.26193470009943165</v>
      </c>
      <c r="AB2" s="4">
        <v>0.62439809754512421</v>
      </c>
      <c r="AC2" s="4">
        <v>0.10259667365808986</v>
      </c>
      <c r="AD2" s="4">
        <v>0.27296091695961716</v>
      </c>
      <c r="AE2" s="5">
        <v>2.6115317504226813E-3</v>
      </c>
      <c r="AF2" s="4">
        <v>0.62518518518518518</v>
      </c>
      <c r="AG2" s="4">
        <v>0.32148148148148148</v>
      </c>
      <c r="AH2" s="4">
        <v>5.4814814814814816E-2</v>
      </c>
      <c r="AI2" s="5">
        <v>3.2371386897461593E-2</v>
      </c>
      <c r="AJ2" s="4">
        <v>2.7130393211425841E-2</v>
      </c>
      <c r="AK2" s="4">
        <v>7.8522768017210476E-2</v>
      </c>
      <c r="AL2" s="4">
        <v>0.10123102665232461</v>
      </c>
      <c r="AM2" s="4">
        <v>0.4166367873789889</v>
      </c>
      <c r="AN2" s="4">
        <v>0.11772439345046014</v>
      </c>
      <c r="AO2" s="4">
        <v>4.4101828612405879E-2</v>
      </c>
      <c r="AP2" s="4">
        <v>3.764790247400502E-2</v>
      </c>
      <c r="AQ2" s="4">
        <v>4.9958168997251105E-2</v>
      </c>
      <c r="AR2" s="4">
        <v>0.1272857655073503</v>
      </c>
      <c r="AS2" s="5">
        <v>5.1866955031357728E-2</v>
      </c>
      <c r="AT2" s="4">
        <v>1.3725197672683874E-2</v>
      </c>
      <c r="AU2" s="4">
        <v>1.8349992540653438E-2</v>
      </c>
      <c r="AV2" s="4">
        <v>8.2798746829777711E-3</v>
      </c>
      <c r="AW2" s="4">
        <v>7.3399970162613751E-2</v>
      </c>
      <c r="AX2" s="4">
        <v>1.9991048784126511E-2</v>
      </c>
      <c r="AY2" s="4">
        <v>7.9069073549157098E-2</v>
      </c>
      <c r="AZ2" s="4">
        <v>4.4905266298672239E-2</v>
      </c>
      <c r="BA2" s="4">
        <v>0.65955542294495006</v>
      </c>
      <c r="BB2" s="4">
        <v>8.2574966432940475E-2</v>
      </c>
      <c r="BC2" s="5">
        <v>5.9531317101857474E-2</v>
      </c>
      <c r="BD2" s="4">
        <v>5.667121596152596E-2</v>
      </c>
      <c r="BE2" s="4">
        <v>0.12166114252290895</v>
      </c>
      <c r="BF2" s="4">
        <v>1.0463378176382661E-2</v>
      </c>
      <c r="BG2" s="4">
        <v>0.14746214336777799</v>
      </c>
      <c r="BH2" s="4">
        <v>0.10021446675765257</v>
      </c>
      <c r="BI2" s="4">
        <v>0.113862351335543</v>
      </c>
      <c r="BJ2" s="4">
        <v>0.10989796581529863</v>
      </c>
      <c r="BK2" s="4">
        <v>0.19107038409046598</v>
      </c>
      <c r="BL2" s="4">
        <v>0.14882693182556703</v>
      </c>
      <c r="BM2" s="5">
        <v>2.5372481806328805E-2</v>
      </c>
      <c r="BN2" s="4">
        <v>2.0738029887160721E-2</v>
      </c>
      <c r="BO2" s="4">
        <v>2.0280573345532175E-2</v>
      </c>
      <c r="BP2" s="4">
        <v>9.7590728880756327E-3</v>
      </c>
      <c r="BQ2" s="4">
        <v>5.0015248551387621E-2</v>
      </c>
      <c r="BR2" s="4">
        <v>1.4028667276608722E-2</v>
      </c>
      <c r="BS2" s="4">
        <v>0.38609332113449224</v>
      </c>
      <c r="BT2" s="4">
        <v>6.2366575175358339E-2</v>
      </c>
      <c r="BU2" s="4">
        <v>0.4364135407136322</v>
      </c>
      <c r="BV2" s="5">
        <v>0.10621002905570881</v>
      </c>
      <c r="BW2" s="4">
        <v>5.6935742386711348E-2</v>
      </c>
      <c r="BX2" s="4">
        <v>3.6026519015008016E-2</v>
      </c>
      <c r="BY2" s="4">
        <v>3.6427218417601634E-5</v>
      </c>
      <c r="BZ2" s="4">
        <v>0.68690805770071395</v>
      </c>
      <c r="CA2" s="4">
        <v>0.22012968089756665</v>
      </c>
      <c r="CB2" s="5">
        <v>0.99999613106407348</v>
      </c>
    </row>
    <row r="3" spans="1:80" x14ac:dyDescent="0.2">
      <c r="A3" t="s">
        <v>161</v>
      </c>
      <c r="B3" s="3" t="s">
        <v>0</v>
      </c>
      <c r="C3" s="5">
        <v>0.12144663396762397</v>
      </c>
      <c r="D3" s="4">
        <v>4.4212482238496012E-2</v>
      </c>
      <c r="E3" s="4">
        <v>0.32336867417204068</v>
      </c>
      <c r="F3" s="4">
        <v>6.4078041315990819E-2</v>
      </c>
      <c r="G3" s="4">
        <v>3.891135643239698E-2</v>
      </c>
      <c r="H3" s="4">
        <v>0.25510984807082743</v>
      </c>
      <c r="I3" s="4">
        <v>0.13933216744999455</v>
      </c>
      <c r="J3" s="4">
        <v>9.0173789485189643E-3</v>
      </c>
      <c r="K3" s="4">
        <v>1.0083069187889386E-2</v>
      </c>
      <c r="L3" s="4">
        <v>3.3610230626297956E-2</v>
      </c>
      <c r="M3" s="4">
        <v>8.2276751557547267E-2</v>
      </c>
      <c r="N3" s="5">
        <v>1.0058606065030829E-2</v>
      </c>
      <c r="O3" s="4">
        <v>0.97723523589574401</v>
      </c>
      <c r="P3" s="4">
        <v>2.210491586935005E-2</v>
      </c>
      <c r="Q3" s="5">
        <v>0.33010878294517049</v>
      </c>
      <c r="R3" s="4">
        <v>8.1228071939119153E-3</v>
      </c>
      <c r="S3" s="4">
        <v>1.9160978355935783E-2</v>
      </c>
      <c r="T3" s="4">
        <v>0</v>
      </c>
      <c r="U3" s="4">
        <v>1.9854633920762418E-2</v>
      </c>
      <c r="V3" s="4">
        <v>2.7846752385069316E-3</v>
      </c>
      <c r="W3" s="4">
        <v>5.8830034280659076E-2</v>
      </c>
      <c r="X3" s="4">
        <v>1.5833442240608005E-2</v>
      </c>
      <c r="Y3" s="4">
        <v>0.87041709810702406</v>
      </c>
      <c r="Z3" s="4">
        <v>4.9862776833914726E-3</v>
      </c>
      <c r="AA3" s="5">
        <v>0.30248495025453481</v>
      </c>
      <c r="AB3" s="4">
        <v>0.62680885144104703</v>
      </c>
      <c r="AC3" s="4">
        <v>8.4060165223973929E-2</v>
      </c>
      <c r="AD3" s="4">
        <v>0.28914195438238488</v>
      </c>
      <c r="AE3" s="5">
        <v>2.256632175592532E-3</v>
      </c>
      <c r="AF3" s="4">
        <v>0.57352941176470584</v>
      </c>
      <c r="AG3" s="4">
        <v>0.35441176470588237</v>
      </c>
      <c r="AH3" s="4">
        <v>7.2058823529411759E-2</v>
      </c>
      <c r="AI3" s="5">
        <v>2.8682458667126844E-2</v>
      </c>
      <c r="AJ3" s="4">
        <v>2.3024412819622815E-2</v>
      </c>
      <c r="AK3" s="4">
        <v>8.1221797986810132E-2</v>
      </c>
      <c r="AL3" s="4">
        <v>0.11095684368853408</v>
      </c>
      <c r="AM3" s="4">
        <v>0.40240657179220179</v>
      </c>
      <c r="AN3" s="4">
        <v>0.136526668980678</v>
      </c>
      <c r="AO3" s="4">
        <v>3.0660650237186161E-2</v>
      </c>
      <c r="AP3" s="4">
        <v>3.9222492190211733E-2</v>
      </c>
      <c r="AQ3" s="4">
        <v>5.1255351151220638E-2</v>
      </c>
      <c r="AR3" s="4">
        <v>0.12403100775193798</v>
      </c>
      <c r="AS3" s="5">
        <v>4.8945688173256251E-2</v>
      </c>
      <c r="AT3" s="4">
        <v>1.1255000339006034E-2</v>
      </c>
      <c r="AU3" s="4">
        <v>1.9933554817275746E-2</v>
      </c>
      <c r="AV3" s="4">
        <v>7.7971387890704456E-3</v>
      </c>
      <c r="AW3" s="4">
        <v>6.8682622550681402E-2</v>
      </c>
      <c r="AX3" s="4">
        <v>1.8577530680046105E-2</v>
      </c>
      <c r="AY3" s="4">
        <v>6.1156688589056887E-2</v>
      </c>
      <c r="AZ3" s="4">
        <v>6.2173706691979115E-2</v>
      </c>
      <c r="BA3" s="4">
        <v>0.67509661671977761</v>
      </c>
      <c r="BB3" s="4">
        <v>7.5530544443691103E-2</v>
      </c>
      <c r="BC3" s="5">
        <v>4.8577326156358062E-2</v>
      </c>
      <c r="BD3" s="4">
        <v>5.0689984970624401E-2</v>
      </c>
      <c r="BE3" s="4">
        <v>0.12884273807897254</v>
      </c>
      <c r="BF3" s="4">
        <v>1.2843284601721546E-2</v>
      </c>
      <c r="BG3" s="4">
        <v>0.14967891788495696</v>
      </c>
      <c r="BH3" s="4">
        <v>8.3754611285694766E-2</v>
      </c>
      <c r="BI3" s="4">
        <v>0.13745047137587102</v>
      </c>
      <c r="BJ3" s="4">
        <v>0.12617843967755157</v>
      </c>
      <c r="BK3" s="4">
        <v>0.15466593796966799</v>
      </c>
      <c r="BL3" s="4">
        <v>0.15596392949856538</v>
      </c>
      <c r="BM3" s="5">
        <v>2.2755480629467632E-2</v>
      </c>
      <c r="BN3" s="4">
        <v>2.1000437509114775E-2</v>
      </c>
      <c r="BO3" s="4">
        <v>2.056292839434155E-2</v>
      </c>
      <c r="BP3" s="4">
        <v>1.0208546011375236E-2</v>
      </c>
      <c r="BQ3" s="4">
        <v>4.7834329881872542E-2</v>
      </c>
      <c r="BR3" s="4">
        <v>1.6771182732973604E-2</v>
      </c>
      <c r="BS3" s="4">
        <v>0.38194545719702494</v>
      </c>
      <c r="BT3" s="4">
        <v>6.2272130669388949E-2</v>
      </c>
      <c r="BU3" s="4">
        <v>0.43998833309027269</v>
      </c>
      <c r="BV3" s="5">
        <v>8.4700033849482631E-2</v>
      </c>
      <c r="BW3" s="4">
        <v>5.7751831681228695E-2</v>
      </c>
      <c r="BX3" s="4">
        <v>2.652509501234181E-2</v>
      </c>
      <c r="BY3" s="4">
        <v>3.9180347137875642E-5</v>
      </c>
      <c r="BZ3" s="4">
        <v>0.69035771656936884</v>
      </c>
      <c r="CA3" s="4">
        <v>0.22524781569564706</v>
      </c>
      <c r="CB3" s="5">
        <v>1.000016592883644</v>
      </c>
    </row>
    <row r="4" spans="1:80" x14ac:dyDescent="0.2">
      <c r="A4" t="s">
        <v>162</v>
      </c>
      <c r="B4" s="3" t="s">
        <v>0</v>
      </c>
      <c r="C4" s="5">
        <v>0.10234899815736402</v>
      </c>
      <c r="D4" s="4">
        <v>5.1742224490374529E-2</v>
      </c>
      <c r="E4" s="4">
        <v>0.38572765161180572</v>
      </c>
      <c r="F4" s="4">
        <v>7.0341073403079019E-2</v>
      </c>
      <c r="G4" s="4">
        <v>4.1648946726772704E-2</v>
      </c>
      <c r="H4" s="4">
        <v>0.20770604746108701</v>
      </c>
      <c r="I4" s="4">
        <v>0.10113124096283066</v>
      </c>
      <c r="J4" s="4">
        <v>8.5055711491026625E-3</v>
      </c>
      <c r="K4" s="4">
        <v>1.1142298205324487E-2</v>
      </c>
      <c r="L4" s="4">
        <v>3.8530237305435061E-2</v>
      </c>
      <c r="M4" s="4">
        <v>8.352470868418814E-2</v>
      </c>
      <c r="N4" s="5">
        <v>9.7993412939076947E-3</v>
      </c>
      <c r="O4" s="4">
        <v>0.98252887177968606</v>
      </c>
      <c r="P4" s="4">
        <v>1.7471128220313888E-2</v>
      </c>
      <c r="Q4" s="5">
        <v>0.31014030149587218</v>
      </c>
      <c r="R4" s="4">
        <v>6.8395101002067761E-3</v>
      </c>
      <c r="S4" s="4">
        <v>1.3080212202584231E-2</v>
      </c>
      <c r="T4" s="4">
        <v>1.4034562449124712E-4</v>
      </c>
      <c r="U4" s="4">
        <v>2.0752439674772406E-2</v>
      </c>
      <c r="V4" s="4">
        <v>2.2268172419277876E-3</v>
      </c>
      <c r="W4" s="4">
        <v>6.057317153042225E-2</v>
      </c>
      <c r="X4" s="4">
        <v>1.9741951178435427E-2</v>
      </c>
      <c r="Y4" s="4">
        <v>0.87119078584193343</v>
      </c>
      <c r="Z4" s="4">
        <v>5.4641229801925539E-3</v>
      </c>
      <c r="AA4" s="5">
        <v>0.35479883348084096</v>
      </c>
      <c r="AB4" s="4">
        <v>0.54672893374444875</v>
      </c>
      <c r="AC4" s="4">
        <v>9.1527697126826915E-2</v>
      </c>
      <c r="AD4" s="4">
        <v>0.36173519044074948</v>
      </c>
      <c r="AE4" s="5">
        <v>1.9238860757657095E-3</v>
      </c>
      <c r="AF4" s="4">
        <v>0.55505279034690802</v>
      </c>
      <c r="AG4" s="4">
        <v>0.36199095022624433</v>
      </c>
      <c r="AH4" s="4">
        <v>8.2956259426847659E-2</v>
      </c>
      <c r="AI4" s="5">
        <v>3.0497801894868188E-2</v>
      </c>
      <c r="AJ4" s="4">
        <v>1.9124643196955282E-2</v>
      </c>
      <c r="AK4" s="4">
        <v>8.9153187440532827E-2</v>
      </c>
      <c r="AL4" s="4">
        <v>9.7906755470980017E-2</v>
      </c>
      <c r="AM4" s="4">
        <v>0.45195052331113228</v>
      </c>
      <c r="AN4" s="4">
        <v>0.1280685061845861</v>
      </c>
      <c r="AO4" s="4">
        <v>3.0447193149381543E-2</v>
      </c>
      <c r="AP4" s="4">
        <v>2.8353948620361561E-2</v>
      </c>
      <c r="AQ4" s="4">
        <v>4.2150333016175073E-2</v>
      </c>
      <c r="AR4" s="4">
        <v>0.11274976213130353</v>
      </c>
      <c r="AS4" s="5">
        <v>4.942036765666033E-2</v>
      </c>
      <c r="AT4" s="4">
        <v>9.7469320650578357E-3</v>
      </c>
      <c r="AU4" s="4">
        <v>1.8025952674534673E-2</v>
      </c>
      <c r="AV4" s="4">
        <v>5.6954964476542778E-3</v>
      </c>
      <c r="AW4" s="4">
        <v>6.7230344665609773E-2</v>
      </c>
      <c r="AX4" s="4">
        <v>1.6029593094944512E-2</v>
      </c>
      <c r="AY4" s="4">
        <v>5.4430156772943453E-2</v>
      </c>
      <c r="AZ4" s="4">
        <v>6.0419235511713937E-2</v>
      </c>
      <c r="BA4" s="4">
        <v>0.69420468557336623</v>
      </c>
      <c r="BB4" s="4">
        <v>7.4276319652398573E-2</v>
      </c>
      <c r="BC4" s="5">
        <v>4.4548264004758933E-2</v>
      </c>
      <c r="BD4" s="4">
        <v>6.1164669098488798E-2</v>
      </c>
      <c r="BE4" s="4">
        <v>0.11939812402292861</v>
      </c>
      <c r="BF4" s="4">
        <v>1.7912975508077123E-2</v>
      </c>
      <c r="BG4" s="4">
        <v>0.14955706096925481</v>
      </c>
      <c r="BH4" s="4">
        <v>8.3637311099531E-2</v>
      </c>
      <c r="BI4" s="4">
        <v>0.13079729025534131</v>
      </c>
      <c r="BJ4" s="4">
        <v>0.13535695674830642</v>
      </c>
      <c r="BK4" s="4">
        <v>0.11027879103699843</v>
      </c>
      <c r="BL4" s="4">
        <v>0.19183168316831684</v>
      </c>
      <c r="BM4" s="5">
        <v>2.1148237888658359E-2</v>
      </c>
      <c r="BN4" s="4">
        <v>2.2228320526893525E-2</v>
      </c>
      <c r="BO4" s="4">
        <v>2.0856201975850714E-2</v>
      </c>
      <c r="BP4" s="4">
        <v>1.0976948408342482E-2</v>
      </c>
      <c r="BQ4" s="4">
        <v>4.6103183315038418E-2</v>
      </c>
      <c r="BR4" s="4">
        <v>1.7014270032930844E-2</v>
      </c>
      <c r="BS4" s="4">
        <v>0.37939077936333698</v>
      </c>
      <c r="BT4" s="4">
        <v>6.0373216245883647E-2</v>
      </c>
      <c r="BU4" s="4">
        <v>0.44333150384193193</v>
      </c>
      <c r="BV4" s="5">
        <v>7.5373968051303628E-2</v>
      </c>
      <c r="BW4" s="4">
        <v>5.2781520692974017E-2</v>
      </c>
      <c r="BX4" s="4">
        <v>3.1337824831568814E-2</v>
      </c>
      <c r="BY4" s="4">
        <v>0</v>
      </c>
      <c r="BZ4" s="4">
        <v>0.73670837343599616</v>
      </c>
      <c r="CA4" s="4">
        <v>0.17905678537054862</v>
      </c>
      <c r="CB4" s="5">
        <v>1</v>
      </c>
    </row>
    <row r="5" spans="1:80" x14ac:dyDescent="0.2">
      <c r="A5" t="s">
        <v>163</v>
      </c>
      <c r="B5" s="3" t="s">
        <v>0</v>
      </c>
      <c r="C5" s="5">
        <v>9.6540600695931345E-2</v>
      </c>
      <c r="D5" s="4">
        <v>5.6468963319078858E-2</v>
      </c>
      <c r="E5" s="4">
        <v>0.43724932933145633</v>
      </c>
      <c r="F5" s="4">
        <v>6.6084092538978456E-2</v>
      </c>
      <c r="G5" s="4">
        <v>4.0611968445377032E-2</v>
      </c>
      <c r="H5" s="4">
        <v>0.15647161943212304</v>
      </c>
      <c r="I5" s="4">
        <v>0.1092193683763181</v>
      </c>
      <c r="J5" s="4">
        <v>7.1183829583787083E-3</v>
      </c>
      <c r="K5" s="4">
        <v>1.1288480437727429E-2</v>
      </c>
      <c r="L5" s="4">
        <v>3.6494993226911736E-2</v>
      </c>
      <c r="M5" s="4">
        <v>7.9072485324975433E-2</v>
      </c>
      <c r="N5" s="5">
        <v>9.185062862036868E-3</v>
      </c>
      <c r="O5" s="4">
        <v>0.98352875488553881</v>
      </c>
      <c r="P5" s="4">
        <v>1.6471245114461196E-2</v>
      </c>
      <c r="Q5" s="5">
        <v>0.34979909277631477</v>
      </c>
      <c r="R5" s="4">
        <v>4.2444012755195543E-3</v>
      </c>
      <c r="S5" s="4">
        <v>7.7044313308653745E-3</v>
      </c>
      <c r="T5" s="4">
        <v>1.4661144302312794E-4</v>
      </c>
      <c r="U5" s="4">
        <v>1.6310523036322987E-2</v>
      </c>
      <c r="V5" s="4">
        <v>1.3414947036616209E-3</v>
      </c>
      <c r="W5" s="4">
        <v>3.5509291500201594E-2</v>
      </c>
      <c r="X5" s="4">
        <v>1.2586592383535536E-2</v>
      </c>
      <c r="Y5" s="4">
        <v>0.9178682696184437</v>
      </c>
      <c r="Z5" s="4">
        <v>4.2810541362753359E-3</v>
      </c>
      <c r="AA5" s="5">
        <v>0.32383116100527976</v>
      </c>
      <c r="AB5" s="4">
        <v>0.5063109717471177</v>
      </c>
      <c r="AC5" s="4">
        <v>9.6794628151526674E-2</v>
      </c>
      <c r="AD5" s="4">
        <v>0.39690231851007224</v>
      </c>
      <c r="AE5" s="5">
        <v>1.6590551847397695E-3</v>
      </c>
      <c r="AF5" s="4">
        <v>0.55486862442040186</v>
      </c>
      <c r="AG5" s="4">
        <v>0.37557959814528591</v>
      </c>
      <c r="AH5" s="4">
        <v>7.2642967542503864E-2</v>
      </c>
      <c r="AI5" s="5">
        <v>3.0696367258917744E-2</v>
      </c>
      <c r="AJ5" s="4">
        <v>1.7709464539303315E-2</v>
      </c>
      <c r="AK5" s="4">
        <v>6.2985548408654252E-2</v>
      </c>
      <c r="AL5" s="4">
        <v>8.420349177178181E-2</v>
      </c>
      <c r="AM5" s="4">
        <v>0.52201152785899252</v>
      </c>
      <c r="AN5" s="4">
        <v>0.12797594185949376</v>
      </c>
      <c r="AO5" s="4">
        <v>2.1886225043855987E-2</v>
      </c>
      <c r="AP5" s="4">
        <v>2.7399548909865509E-2</v>
      </c>
      <c r="AQ5" s="4">
        <v>3.3163478406148195E-2</v>
      </c>
      <c r="AR5" s="4">
        <v>0.10233063236154039</v>
      </c>
      <c r="AS5" s="5">
        <v>4.5045784281798347E-2</v>
      </c>
      <c r="AT5" s="4">
        <v>8.0264131610405867E-3</v>
      </c>
      <c r="AU5" s="4">
        <v>1.8500597711618376E-2</v>
      </c>
      <c r="AV5" s="4">
        <v>6.1478909318608754E-3</v>
      </c>
      <c r="AW5" s="4">
        <v>6.2275858143109236E-2</v>
      </c>
      <c r="AX5" s="4">
        <v>1.7362099390903399E-2</v>
      </c>
      <c r="AY5" s="4">
        <v>5.720954061592759E-2</v>
      </c>
      <c r="AZ5" s="4">
        <v>6.9277622815506354E-2</v>
      </c>
      <c r="BA5" s="4">
        <v>0.68304206751295038</v>
      </c>
      <c r="BB5" s="4">
        <v>7.8100984801047421E-2</v>
      </c>
      <c r="BC5" s="5">
        <v>4.3571353476194993E-2</v>
      </c>
      <c r="BD5" s="4">
        <v>6.2617702448210924E-2</v>
      </c>
      <c r="BE5" s="4">
        <v>0.1154072504708098</v>
      </c>
      <c r="BF5" s="4">
        <v>1.1299435028248588E-2</v>
      </c>
      <c r="BG5" s="4">
        <v>0.14453860640301319</v>
      </c>
      <c r="BH5" s="4">
        <v>8.2980225988700571E-2</v>
      </c>
      <c r="BI5" s="4">
        <v>0.15636770244821091</v>
      </c>
      <c r="BJ5" s="4">
        <v>0.12541195856873824</v>
      </c>
      <c r="BK5" s="4">
        <v>0.11293549905838042</v>
      </c>
      <c r="BL5" s="4">
        <v>0.18879472693032015</v>
      </c>
      <c r="BM5" s="5">
        <v>2.1047179221551818E-2</v>
      </c>
      <c r="BN5" s="4">
        <v>1.9127680311890837E-2</v>
      </c>
      <c r="BO5" s="4">
        <v>2.2173489278752435E-2</v>
      </c>
      <c r="BP5" s="4">
        <v>1.145224171539961E-2</v>
      </c>
      <c r="BQ5" s="4">
        <v>4.5930799220272905E-2</v>
      </c>
      <c r="BR5" s="4">
        <v>1.48635477582846E-2</v>
      </c>
      <c r="BS5" s="4">
        <v>0.47587719298245612</v>
      </c>
      <c r="BT5" s="4">
        <v>5.6773879142300192E-2</v>
      </c>
      <c r="BU5" s="4">
        <v>0.35343567251461988</v>
      </c>
      <c r="BV5" s="5">
        <v>7.8621779009746623E-2</v>
      </c>
      <c r="BW5" s="4">
        <v>4.0409640911907636E-2</v>
      </c>
      <c r="BX5" s="4">
        <v>2.8081275887935814E-2</v>
      </c>
      <c r="BY5" s="4">
        <v>0</v>
      </c>
      <c r="BZ5" s="4">
        <v>0.7622712892599719</v>
      </c>
      <c r="CA5" s="4">
        <v>0.16920517921789896</v>
      </c>
      <c r="CB5" s="5">
        <v>0.99999743577251221</v>
      </c>
    </row>
    <row r="6" spans="1:80" x14ac:dyDescent="0.2">
      <c r="A6" t="s">
        <v>164</v>
      </c>
      <c r="B6" s="3" t="s">
        <v>0</v>
      </c>
      <c r="C6" s="5">
        <v>9.8222359453915886E-2</v>
      </c>
      <c r="D6" s="4">
        <v>5.4704165263276074E-2</v>
      </c>
      <c r="E6" s="4">
        <v>0.41273717300999213</v>
      </c>
      <c r="F6" s="4">
        <v>7.1404513304142811E-2</v>
      </c>
      <c r="G6" s="4">
        <v>3.449534074323566E-2</v>
      </c>
      <c r="H6" s="4">
        <v>0.18075670820702819</v>
      </c>
      <c r="I6" s="4">
        <v>0.11583585943639833</v>
      </c>
      <c r="J6" s="4">
        <v>7.9431907488492198E-3</v>
      </c>
      <c r="K6" s="4">
        <v>1.2546311889525093E-2</v>
      </c>
      <c r="L6" s="4">
        <v>3.6768833501740206E-2</v>
      </c>
      <c r="M6" s="4">
        <v>7.272370046031211E-2</v>
      </c>
      <c r="N6" s="5">
        <v>9.050859045896649E-3</v>
      </c>
      <c r="O6" s="4">
        <v>0.9887298202863235</v>
      </c>
      <c r="P6" s="4">
        <v>1.1270179713676515E-2</v>
      </c>
      <c r="Q6" s="5">
        <v>0.41895855847908076</v>
      </c>
      <c r="R6" s="4">
        <v>2.7242577384712571E-3</v>
      </c>
      <c r="S6" s="4">
        <v>7.7845335860181088E-3</v>
      </c>
      <c r="T6" s="4">
        <v>6.5803327016213947E-5</v>
      </c>
      <c r="U6" s="4">
        <v>1.0982575279006106E-2</v>
      </c>
      <c r="V6" s="4">
        <v>1.1318172246788797E-3</v>
      </c>
      <c r="W6" s="4">
        <v>1.8023531269740999E-2</v>
      </c>
      <c r="X6" s="4">
        <v>7.6529269319856813E-3</v>
      </c>
      <c r="Y6" s="4">
        <v>0.94801537165719096</v>
      </c>
      <c r="Z6" s="4">
        <v>3.6257633185933879E-3</v>
      </c>
      <c r="AA6" s="5">
        <v>0.24486943384574666</v>
      </c>
      <c r="AB6" s="4">
        <v>0.48825165219936728</v>
      </c>
      <c r="AC6" s="4">
        <v>8.7310433343466068E-2</v>
      </c>
      <c r="AD6" s="4">
        <v>0.42443791445716667</v>
      </c>
      <c r="AE6" s="5">
        <v>2.0979907809708653E-3</v>
      </c>
      <c r="AF6" s="4">
        <v>0.5834428383705651</v>
      </c>
      <c r="AG6" s="4">
        <v>0.37056504599211565</v>
      </c>
      <c r="AH6" s="4">
        <v>4.3363994743758211E-2</v>
      </c>
      <c r="AI6" s="5">
        <v>3.0579387309499127E-2</v>
      </c>
      <c r="AJ6" s="4">
        <v>2.0465200144248106E-2</v>
      </c>
      <c r="AK6" s="4">
        <v>5.7789397764154343E-2</v>
      </c>
      <c r="AL6" s="4">
        <v>8.0598629642985933E-2</v>
      </c>
      <c r="AM6" s="4">
        <v>0.50009015506671473</v>
      </c>
      <c r="AN6" s="4">
        <v>0.1433465560764515</v>
      </c>
      <c r="AO6" s="4">
        <v>2.9751172015867293E-2</v>
      </c>
      <c r="AP6" s="4">
        <v>2.0915975477821855E-2</v>
      </c>
      <c r="AQ6" s="4">
        <v>2.8038225748287054E-2</v>
      </c>
      <c r="AR6" s="4">
        <v>0.11945546339704291</v>
      </c>
      <c r="AS6" s="5">
        <v>4.0548289627489471E-2</v>
      </c>
      <c r="AT6" s="4">
        <v>7.6149034539026378E-3</v>
      </c>
      <c r="AU6" s="4">
        <v>1.7677454446559694E-2</v>
      </c>
      <c r="AV6" s="4">
        <v>7.0029915692140328E-3</v>
      </c>
      <c r="AW6" s="4">
        <v>6.3502855588795218E-2</v>
      </c>
      <c r="AX6" s="4">
        <v>1.8765297797117216E-2</v>
      </c>
      <c r="AY6" s="4">
        <v>5.004079412564591E-2</v>
      </c>
      <c r="AZ6" s="4">
        <v>6.255099265705738E-2</v>
      </c>
      <c r="BA6" s="4">
        <v>0.69451998912156654</v>
      </c>
      <c r="BB6" s="4">
        <v>7.8460701658961116E-2</v>
      </c>
      <c r="BC6" s="5">
        <v>4.0465583026399944E-2</v>
      </c>
      <c r="BD6" s="4">
        <v>7.2761956669846029E-2</v>
      </c>
      <c r="BE6" s="4">
        <v>0.12052050688104646</v>
      </c>
      <c r="BF6" s="4">
        <v>9.4018258618340372E-3</v>
      </c>
      <c r="BG6" s="4">
        <v>0.1474315301812236</v>
      </c>
      <c r="BH6" s="4">
        <v>8.8567924785393104E-2</v>
      </c>
      <c r="BI6" s="4">
        <v>0.15335876822455374</v>
      </c>
      <c r="BJ6" s="4">
        <v>0.13666712086115274</v>
      </c>
      <c r="BK6" s="4">
        <v>0.10887041831312168</v>
      </c>
      <c r="BL6" s="4">
        <v>0.16262433574056412</v>
      </c>
      <c r="BM6" s="5">
        <v>2.0334796321210383E-2</v>
      </c>
      <c r="BN6" s="4">
        <v>2.1827548806941433E-2</v>
      </c>
      <c r="BO6" s="4">
        <v>1.843817787418655E-2</v>
      </c>
      <c r="BP6" s="4">
        <v>1.5184381778741865E-2</v>
      </c>
      <c r="BQ6" s="4">
        <v>5.2467462039045551E-2</v>
      </c>
      <c r="BR6" s="4">
        <v>1.7489154013015186E-2</v>
      </c>
      <c r="BS6" s="4">
        <v>0.47803687635574837</v>
      </c>
      <c r="BT6" s="4">
        <v>5.8568329718004339E-2</v>
      </c>
      <c r="BU6" s="4">
        <v>0.33812364425162689</v>
      </c>
      <c r="BV6" s="5">
        <v>9.4858957676275335E-2</v>
      </c>
      <c r="BW6" s="4">
        <v>3.0893978144617532E-2</v>
      </c>
      <c r="BX6" s="4">
        <v>3.7869100209253659E-2</v>
      </c>
      <c r="BY6" s="4">
        <v>5.8126017205301093E-5</v>
      </c>
      <c r="BZ6" s="4">
        <v>0.74087421529876774</v>
      </c>
      <c r="CA6" s="4">
        <v>0.19039176935596372</v>
      </c>
      <c r="CB6" s="5">
        <v>0.99998621556648515</v>
      </c>
    </row>
    <row r="7" spans="1:80" x14ac:dyDescent="0.2">
      <c r="A7" t="s">
        <v>165</v>
      </c>
      <c r="B7" s="3" t="s">
        <v>0</v>
      </c>
      <c r="C7" s="5">
        <v>9.5030643781320395E-2</v>
      </c>
      <c r="D7" s="4">
        <v>3.780431786862655E-2</v>
      </c>
      <c r="E7" s="4">
        <v>0.33994028479559024</v>
      </c>
      <c r="F7" s="4">
        <v>6.768488745980708E-2</v>
      </c>
      <c r="G7" s="4">
        <v>2.7721635277905374E-2</v>
      </c>
      <c r="H7" s="4">
        <v>0.32395498392282956</v>
      </c>
      <c r="I7" s="4">
        <v>0.10362884703720716</v>
      </c>
      <c r="J7" s="4">
        <v>7.3036288470372072E-3</v>
      </c>
      <c r="K7" s="4">
        <v>1.0932475884244373E-2</v>
      </c>
      <c r="L7" s="4">
        <v>3.2705558107487369E-2</v>
      </c>
      <c r="M7" s="4">
        <v>4.8346348185576482E-2</v>
      </c>
      <c r="N7" s="5">
        <v>5.506713694539994E-3</v>
      </c>
      <c r="O7" s="4">
        <v>0.99207292905271505</v>
      </c>
      <c r="P7" s="4">
        <v>8.3234244946492272E-3</v>
      </c>
      <c r="Q7" s="5">
        <v>0.43254657680152259</v>
      </c>
      <c r="R7" s="4">
        <v>2.5431554301918974E-3</v>
      </c>
      <c r="S7" s="4">
        <v>1.5975456531721322E-2</v>
      </c>
      <c r="T7" s="4">
        <v>5.5505376452600929E-5</v>
      </c>
      <c r="U7" s="4">
        <v>6.7514721539618221E-3</v>
      </c>
      <c r="V7" s="4">
        <v>1.3422209214901679E-3</v>
      </c>
      <c r="W7" s="4">
        <v>2.5638437977787757E-2</v>
      </c>
      <c r="X7" s="4">
        <v>9.8294975754242373E-3</v>
      </c>
      <c r="Y7" s="4">
        <v>0.93480641238476325</v>
      </c>
      <c r="Z7" s="4">
        <v>3.0931632514040338E-3</v>
      </c>
      <c r="AA7" s="5">
        <v>0.27587042307625148</v>
      </c>
      <c r="AB7" s="4">
        <v>0.50242493769532026</v>
      </c>
      <c r="AC7" s="4">
        <v>9.2685628387198862E-2</v>
      </c>
      <c r="AD7" s="4">
        <v>0.40491316903358521</v>
      </c>
      <c r="AE7" s="5">
        <v>2.3681269752579841E-3</v>
      </c>
      <c r="AF7" s="4">
        <v>0.61658986175115205</v>
      </c>
      <c r="AG7" s="4">
        <v>0.33179723502304148</v>
      </c>
      <c r="AH7" s="4">
        <v>4.9769585253456219E-2</v>
      </c>
      <c r="AI7" s="5">
        <v>2.1939550557873968E-2</v>
      </c>
      <c r="AJ7" s="4">
        <v>2.3776362912853163E-2</v>
      </c>
      <c r="AK7" s="4">
        <v>8.0382013529645843E-2</v>
      </c>
      <c r="AL7" s="4">
        <v>0.10306406685236769</v>
      </c>
      <c r="AM7" s="4">
        <v>0.36112216474333464</v>
      </c>
      <c r="AN7" s="4">
        <v>0.16543971348985276</v>
      </c>
      <c r="AO7" s="4">
        <v>4.8746518105849582E-2</v>
      </c>
      <c r="AP7" s="4">
        <v>3.6609629924393157E-2</v>
      </c>
      <c r="AQ7" s="4">
        <v>3.4321528054118582E-2</v>
      </c>
      <c r="AR7" s="4">
        <v>0.1466374850775965</v>
      </c>
      <c r="AS7" s="5">
        <v>3.6456059785930049E-2</v>
      </c>
      <c r="AT7" s="4">
        <v>9.5791175237981193E-3</v>
      </c>
      <c r="AU7" s="4">
        <v>1.5386457522600731E-2</v>
      </c>
      <c r="AV7" s="4">
        <v>5.7474705142788723E-3</v>
      </c>
      <c r="AW7" s="4">
        <v>5.675627132850386E-2</v>
      </c>
      <c r="AX7" s="4">
        <v>1.9936538346404839E-2</v>
      </c>
      <c r="AY7" s="4">
        <v>3.4125606178530804E-2</v>
      </c>
      <c r="AZ7" s="4">
        <v>4.7476501227324434E-2</v>
      </c>
      <c r="BA7" s="4">
        <v>0.7380710052086451</v>
      </c>
      <c r="BB7" s="4">
        <v>7.3040771118960665E-2</v>
      </c>
      <c r="BC7" s="5">
        <v>3.2145413909308376E-2</v>
      </c>
      <c r="BD7" s="4">
        <v>5.9206952743074415E-2</v>
      </c>
      <c r="BE7" s="4">
        <v>0.1139326453014666</v>
      </c>
      <c r="BF7" s="4">
        <v>1.1882129277566539E-2</v>
      </c>
      <c r="BG7" s="4">
        <v>0.15141227593699078</v>
      </c>
      <c r="BH7" s="4">
        <v>9.3427485062466051E-2</v>
      </c>
      <c r="BI7" s="4">
        <v>0.15826996197718632</v>
      </c>
      <c r="BJ7" s="4">
        <v>0.15120858229223247</v>
      </c>
      <c r="BK7" s="4">
        <v>0.12581477457903315</v>
      </c>
      <c r="BL7" s="4">
        <v>0.13498098859315588</v>
      </c>
      <c r="BM7" s="5">
        <v>1.7539417855459132E-2</v>
      </c>
      <c r="BN7" s="4">
        <v>2.5261324041811847E-2</v>
      </c>
      <c r="BO7" s="4">
        <v>1.8043802887008461E-2</v>
      </c>
      <c r="BP7" s="4">
        <v>1.4435042309606769E-2</v>
      </c>
      <c r="BQ7" s="4">
        <v>5.9731209556993528E-2</v>
      </c>
      <c r="BR7" s="4">
        <v>1.4808362369337979E-2</v>
      </c>
      <c r="BS7" s="4">
        <v>0.48220507715281236</v>
      </c>
      <c r="BT7" s="4">
        <v>5.6371329019412643E-2</v>
      </c>
      <c r="BU7" s="4">
        <v>0.32926829268292684</v>
      </c>
      <c r="BV7" s="5">
        <v>8.061016919557891E-2</v>
      </c>
      <c r="BW7" s="4">
        <v>4.8439065334524682E-2</v>
      </c>
      <c r="BX7" s="4">
        <v>6.9747921912652638E-2</v>
      </c>
      <c r="BY7" s="4">
        <v>5.4152113286220993E-5</v>
      </c>
      <c r="BZ7" s="4">
        <v>0.63035767470825554</v>
      </c>
      <c r="CA7" s="4">
        <v>0.25134703381799472</v>
      </c>
      <c r="CB7" s="5">
        <v>1.0000130956330429</v>
      </c>
    </row>
    <row r="8" spans="1:80" x14ac:dyDescent="0.2">
      <c r="A8" t="s">
        <v>166</v>
      </c>
      <c r="B8" s="3" t="s">
        <v>0</v>
      </c>
      <c r="C8" s="5">
        <v>8.9451306273311271E-2</v>
      </c>
      <c r="D8" s="4">
        <v>2.8575731335416587E-2</v>
      </c>
      <c r="E8" s="4">
        <v>0.31248823462972025</v>
      </c>
      <c r="F8" s="4">
        <v>6.3721245435036336E-2</v>
      </c>
      <c r="G8" s="4">
        <v>2.2683633899326081E-2</v>
      </c>
      <c r="H8" s="4">
        <v>0.3891419750762396</v>
      </c>
      <c r="I8" s="4">
        <v>9.4631226233952037E-2</v>
      </c>
      <c r="J8" s="4">
        <v>6.042694175671097E-3</v>
      </c>
      <c r="K8" s="4">
        <v>9.7323142953955055E-3</v>
      </c>
      <c r="L8" s="4">
        <v>3.2359474417378867E-2</v>
      </c>
      <c r="M8" s="4">
        <v>4.0661119686758784E-2</v>
      </c>
      <c r="N8" s="5">
        <v>4.3309506369292681E-3</v>
      </c>
      <c r="O8" s="4">
        <v>0.99261275272161742</v>
      </c>
      <c r="P8" s="4">
        <v>7.3872472783825813E-3</v>
      </c>
      <c r="Q8" s="5">
        <v>0.31706869406346561</v>
      </c>
      <c r="R8" s="4">
        <v>2.4110974210817013E-3</v>
      </c>
      <c r="S8" s="4">
        <v>4.1222330798317545E-2</v>
      </c>
      <c r="T8" s="4">
        <v>4.7797085439945615E-5</v>
      </c>
      <c r="U8" s="4">
        <v>8.0883290138930187E-3</v>
      </c>
      <c r="V8" s="4">
        <v>1.6304116922292561E-3</v>
      </c>
      <c r="W8" s="4">
        <v>4.094616986022008E-2</v>
      </c>
      <c r="X8" s="4">
        <v>6.5768789565365166E-2</v>
      </c>
      <c r="Y8" s="4">
        <v>0.8361887666227642</v>
      </c>
      <c r="Z8" s="4">
        <v>3.6750647916047076E-3</v>
      </c>
      <c r="AA8" s="5">
        <v>0.42321739789346063</v>
      </c>
      <c r="AB8" s="4">
        <v>0.56635791416998893</v>
      </c>
      <c r="AC8" s="4">
        <v>6.8995838207325716E-2</v>
      </c>
      <c r="AD8" s="4">
        <v>0.36464624762268533</v>
      </c>
      <c r="AE8" s="5">
        <v>2.8322935347259055E-3</v>
      </c>
      <c r="AF8" s="4">
        <v>0.64209274673008321</v>
      </c>
      <c r="AG8" s="4">
        <v>0.31985731272294887</v>
      </c>
      <c r="AH8" s="4">
        <v>3.8049940546967892E-2</v>
      </c>
      <c r="AI8" s="5">
        <v>2.1174846135064367E-2</v>
      </c>
      <c r="AJ8" s="4">
        <v>1.94831013916501E-2</v>
      </c>
      <c r="AK8" s="4">
        <v>0.13320079522862824</v>
      </c>
      <c r="AL8" s="4">
        <v>8.4930417495029817E-2</v>
      </c>
      <c r="AM8" s="4">
        <v>0.34417495029821071</v>
      </c>
      <c r="AN8" s="4">
        <v>0.14059642147117296</v>
      </c>
      <c r="AO8" s="4">
        <v>5.8131212723658052E-2</v>
      </c>
      <c r="AP8" s="4">
        <v>2.4095427435387673E-2</v>
      </c>
      <c r="AQ8" s="4">
        <v>3.5864811133200794E-2</v>
      </c>
      <c r="AR8" s="4">
        <v>0.1596023856858847</v>
      </c>
      <c r="AS8" s="5">
        <v>3.2719557475183757E-2</v>
      </c>
      <c r="AT8" s="4">
        <v>7.6166949719520356E-3</v>
      </c>
      <c r="AU8" s="4">
        <v>1.8681488343368843E-2</v>
      </c>
      <c r="AV8" s="4">
        <v>4.9405589007256445E-3</v>
      </c>
      <c r="AW8" s="4">
        <v>5.218465338891462E-2</v>
      </c>
      <c r="AX8" s="4">
        <v>1.8321239256857597E-2</v>
      </c>
      <c r="AY8" s="4">
        <v>3.1084349750398848E-2</v>
      </c>
      <c r="AZ8" s="4">
        <v>6.896196798929545E-2</v>
      </c>
      <c r="BA8" s="4">
        <v>0.72451237712932948</v>
      </c>
      <c r="BB8" s="4">
        <v>7.3593741958725742E-2</v>
      </c>
      <c r="BC8" s="5">
        <v>2.7811034494371615E-2</v>
      </c>
      <c r="BD8" s="4">
        <v>6.218212642286268E-2</v>
      </c>
      <c r="BE8" s="4">
        <v>0.11570598207798498</v>
      </c>
      <c r="BF8" s="4">
        <v>1.5742310486800679E-2</v>
      </c>
      <c r="BG8" s="4">
        <v>0.15070234923710341</v>
      </c>
      <c r="BH8" s="4">
        <v>9.3545652700411722E-2</v>
      </c>
      <c r="BI8" s="4">
        <v>0.14149915233712762</v>
      </c>
      <c r="BJ8" s="4">
        <v>0.16299346088641317</v>
      </c>
      <c r="BK8" s="4">
        <v>0.12188181157665294</v>
      </c>
      <c r="BL8" s="4">
        <v>0.13592879631872123</v>
      </c>
      <c r="BM8" s="5">
        <v>1.5284618558089802E-2</v>
      </c>
      <c r="BN8" s="4">
        <v>1.9279497631376007E-2</v>
      </c>
      <c r="BO8" s="4">
        <v>1.828798061033381E-2</v>
      </c>
      <c r="BP8" s="4">
        <v>2.2143880136609013E-2</v>
      </c>
      <c r="BQ8" s="4">
        <v>7.1499394072931585E-2</v>
      </c>
      <c r="BR8" s="4">
        <v>1.5533766662994381E-2</v>
      </c>
      <c r="BS8" s="4">
        <v>0.48573317175278174</v>
      </c>
      <c r="BT8" s="4">
        <v>5.5745290294150047E-2</v>
      </c>
      <c r="BU8" s="4">
        <v>0.31221769307039771</v>
      </c>
      <c r="BV8" s="5">
        <v>6.610088151347529E-2</v>
      </c>
      <c r="BW8" s="4">
        <v>1.9462488854922941E-2</v>
      </c>
      <c r="BX8" s="4">
        <v>7.7595210801171821E-2</v>
      </c>
      <c r="BY8" s="4">
        <v>2.292701566679404E-4</v>
      </c>
      <c r="BZ8" s="4">
        <v>0.59900649598777223</v>
      </c>
      <c r="CA8" s="4">
        <v>0.30368105973761306</v>
      </c>
      <c r="CB8" s="5">
        <v>0.99999158057807747</v>
      </c>
    </row>
    <row r="9" spans="1:80" x14ac:dyDescent="0.2">
      <c r="A9" t="s">
        <v>167</v>
      </c>
      <c r="B9" s="3" t="s">
        <v>0</v>
      </c>
      <c r="C9" s="5">
        <v>9.800706379794602E-2</v>
      </c>
      <c r="D9" s="4">
        <v>2.2575754808307001E-2</v>
      </c>
      <c r="E9" s="4">
        <v>0.32508356317010356</v>
      </c>
      <c r="F9" s="4">
        <v>5.4795521379385925E-2</v>
      </c>
      <c r="G9" s="4">
        <v>2.4584923925551151E-2</v>
      </c>
      <c r="H9" s="4">
        <v>0.37677400500465763</v>
      </c>
      <c r="I9" s="4">
        <v>0.10760013881532082</v>
      </c>
      <c r="J9" s="4">
        <v>5.4247566165592067E-3</v>
      </c>
      <c r="K9" s="4">
        <v>9.2969734607024779E-3</v>
      </c>
      <c r="L9" s="4">
        <v>3.1726606878664451E-2</v>
      </c>
      <c r="M9" s="4">
        <v>4.2265612157299674E-2</v>
      </c>
      <c r="N9" s="5">
        <v>4.561215703614065E-3</v>
      </c>
      <c r="O9" s="4">
        <v>0.99058084772370492</v>
      </c>
      <c r="P9" s="4">
        <v>9.4191522762951327E-3</v>
      </c>
      <c r="Q9" s="5">
        <v>0.36332374427834158</v>
      </c>
      <c r="R9" s="4">
        <v>2.222101783101187E-3</v>
      </c>
      <c r="S9" s="4">
        <v>2.7138218672552856E-2</v>
      </c>
      <c r="T9" s="4">
        <v>6.8978769320214225E-5</v>
      </c>
      <c r="U9" s="4">
        <v>7.0703238553219581E-3</v>
      </c>
      <c r="V9" s="4">
        <v>1.0001921551431063E-3</v>
      </c>
      <c r="W9" s="4">
        <v>3.6494696025344768E-2</v>
      </c>
      <c r="X9" s="4">
        <v>9.3885032099763011E-2</v>
      </c>
      <c r="Y9" s="4">
        <v>0.82894250619577159</v>
      </c>
      <c r="Z9" s="4">
        <v>3.2025857184385179E-3</v>
      </c>
      <c r="AA9" s="5">
        <v>0.35005540409184727</v>
      </c>
      <c r="AB9" s="4">
        <v>0.52841487299858347</v>
      </c>
      <c r="AC9" s="4">
        <v>8.0593610808544144E-2</v>
      </c>
      <c r="AD9" s="4">
        <v>0.39098128857728753</v>
      </c>
      <c r="AE9" s="5">
        <v>2.8802967296369824E-3</v>
      </c>
      <c r="AF9" s="4">
        <v>0.65444375388440024</v>
      </c>
      <c r="AG9" s="4">
        <v>0.2610316967060286</v>
      </c>
      <c r="AH9" s="4">
        <v>8.4524549409571159E-2</v>
      </c>
      <c r="AI9" s="5">
        <v>2.0557692755221322E-2</v>
      </c>
      <c r="AJ9" s="4">
        <v>1.9244165795889934E-2</v>
      </c>
      <c r="AK9" s="4">
        <v>0.11006617903169627</v>
      </c>
      <c r="AL9" s="4">
        <v>8.0111459421804254E-2</v>
      </c>
      <c r="AM9" s="4">
        <v>0.41396725879484503</v>
      </c>
      <c r="AN9" s="4">
        <v>0.14681295715778475</v>
      </c>
      <c r="AO9" s="4">
        <v>2.9432253570184606E-2</v>
      </c>
      <c r="AP9" s="4">
        <v>2.4120515499825846E-2</v>
      </c>
      <c r="AQ9" s="4">
        <v>3.3524904214559385E-2</v>
      </c>
      <c r="AR9" s="4">
        <v>0.14306861720654823</v>
      </c>
      <c r="AS9" s="5">
        <v>3.4651276442251751E-2</v>
      </c>
      <c r="AT9" s="4">
        <v>5.6310378674381363E-3</v>
      </c>
      <c r="AU9" s="4">
        <v>2.0509376452962753E-2</v>
      </c>
      <c r="AV9" s="4">
        <v>5.0627679909076816E-3</v>
      </c>
      <c r="AW9" s="4">
        <v>4.5874877305367566E-2</v>
      </c>
      <c r="AX9" s="4">
        <v>1.880456682337139E-2</v>
      </c>
      <c r="AY9" s="4">
        <v>4.4118406777909798E-2</v>
      </c>
      <c r="AZ9" s="4">
        <v>6.4886087720204572E-2</v>
      </c>
      <c r="BA9" s="4">
        <v>0.72066952523634864</v>
      </c>
      <c r="BB9" s="4">
        <v>7.4495014723355887E-2</v>
      </c>
      <c r="BC9" s="5">
        <v>3.3303319054174281E-2</v>
      </c>
      <c r="BD9" s="4">
        <v>7.0038701354547414E-2</v>
      </c>
      <c r="BE9" s="4">
        <v>0.11357772522038272</v>
      </c>
      <c r="BF9" s="4">
        <v>1.4620511717910126E-2</v>
      </c>
      <c r="BG9" s="4">
        <v>0.1636207267254354</v>
      </c>
      <c r="BH9" s="4">
        <v>8.0036551279294779E-2</v>
      </c>
      <c r="BI9" s="4">
        <v>0.14389378628251989</v>
      </c>
      <c r="BJ9" s="4">
        <v>0.15878305740700924</v>
      </c>
      <c r="BK9" s="4">
        <v>0.1171791012685444</v>
      </c>
      <c r="BL9" s="4">
        <v>0.13835734250698775</v>
      </c>
      <c r="BM9" s="5">
        <v>1.8826650531753975E-2</v>
      </c>
      <c r="BN9" s="4">
        <v>1.6164305410288106E-2</v>
      </c>
      <c r="BO9" s="4">
        <v>1.7875820100789197E-2</v>
      </c>
      <c r="BP9" s="4">
        <v>1.7875820100789197E-2</v>
      </c>
      <c r="BQ9" s="4">
        <v>6.712940952743178E-2</v>
      </c>
      <c r="BR9" s="4">
        <v>1.7210231054483216E-2</v>
      </c>
      <c r="BS9" s="4">
        <v>0.46315489207949034</v>
      </c>
      <c r="BT9" s="4">
        <v>5.4768470096034992E-2</v>
      </c>
      <c r="BU9" s="4">
        <v>0.34572596748122086</v>
      </c>
      <c r="BV9" s="5">
        <v>7.3836916847319217E-2</v>
      </c>
      <c r="BW9" s="4">
        <v>1.4837442723107134E-2</v>
      </c>
      <c r="BX9" s="4">
        <v>4.8755060974131452E-2</v>
      </c>
      <c r="BY9" s="4">
        <v>2.666860620166315E-4</v>
      </c>
      <c r="BZ9" s="4">
        <v>0.68737120275413965</v>
      </c>
      <c r="CA9" s="4">
        <v>0.24867263073678086</v>
      </c>
      <c r="CB9" s="5">
        <v>1.0000035802321063</v>
      </c>
    </row>
    <row r="10" spans="1:80" ht="16" customHeight="1" x14ac:dyDescent="0.2">
      <c r="A10" t="s">
        <v>247</v>
      </c>
      <c r="B10" s="3" t="s">
        <v>0</v>
      </c>
      <c r="C10" s="5">
        <v>0.10167065454763503</v>
      </c>
      <c r="D10" s="4">
        <v>2.1251093946196873E-2</v>
      </c>
      <c r="E10" s="4">
        <v>0.40555914919523611</v>
      </c>
      <c r="F10" s="4">
        <v>6.5161143031087096E-2</v>
      </c>
      <c r="G10" s="4">
        <v>2.3191659373692022E-2</v>
      </c>
      <c r="H10" s="4">
        <v>0.26153875423309614</v>
      </c>
      <c r="I10" s="4">
        <v>0.13445074388341388</v>
      </c>
      <c r="J10" s="4">
        <v>5.6694950724858265E-3</v>
      </c>
      <c r="K10" s="4">
        <v>1.0444808036223888E-2</v>
      </c>
      <c r="L10" s="4">
        <v>2.9926562916175185E-2</v>
      </c>
      <c r="M10" s="4">
        <v>4.2863665766142839E-2</v>
      </c>
      <c r="N10" s="5">
        <v>6.1491383662518884E-3</v>
      </c>
      <c r="O10" s="4">
        <v>0.99370871343189682</v>
      </c>
      <c r="P10" s="4">
        <v>6.2912865681031774E-3</v>
      </c>
      <c r="Q10" s="5">
        <v>0.34737699305393022</v>
      </c>
      <c r="R10" s="4">
        <v>2.9623360135421074E-3</v>
      </c>
      <c r="S10" s="4">
        <v>2.7869345390560615E-2</v>
      </c>
      <c r="T10" s="4">
        <v>1.1136601554669577E-4</v>
      </c>
      <c r="U10" s="4">
        <v>7.9292603069247396E-3</v>
      </c>
      <c r="V10" s="4">
        <v>1.3475287881150187E-3</v>
      </c>
      <c r="W10" s="4">
        <v>3.6182818451121458E-2</v>
      </c>
      <c r="X10" s="4">
        <v>2.8604361093168808E-2</v>
      </c>
      <c r="Y10" s="4">
        <v>0.8914849544512996</v>
      </c>
      <c r="Z10" s="4">
        <v>3.5358709936075907E-3</v>
      </c>
      <c r="AA10" s="5">
        <v>0.33045960892331083</v>
      </c>
      <c r="AB10" s="4">
        <v>0.50014048067805339</v>
      </c>
      <c r="AC10" s="4">
        <v>9.1973870593882068E-2</v>
      </c>
      <c r="AD10" s="4">
        <v>0.40787394200489341</v>
      </c>
      <c r="AE10" s="5">
        <v>2.7022165138892379E-3</v>
      </c>
      <c r="AF10" s="4">
        <v>0.61918396564065858</v>
      </c>
      <c r="AG10" s="4">
        <v>0.29778095919828201</v>
      </c>
      <c r="AH10" s="4">
        <v>8.4466714387974234E-2</v>
      </c>
      <c r="AI10" s="5">
        <v>2.3737724451287568E-2</v>
      </c>
      <c r="AJ10" s="4">
        <v>1.751955671447197E-2</v>
      </c>
      <c r="AK10" s="4">
        <v>7.7086049543676663E-2</v>
      </c>
      <c r="AL10" s="4">
        <v>9.4687092568448497E-2</v>
      </c>
      <c r="AM10" s="4">
        <v>0.43896675358539766</v>
      </c>
      <c r="AN10" s="4">
        <v>0.13893415906127771</v>
      </c>
      <c r="AO10" s="4">
        <v>3.5609517601043028E-2</v>
      </c>
      <c r="AP10" s="4">
        <v>2.3956975228161669E-2</v>
      </c>
      <c r="AQ10" s="4">
        <v>3.3572359843546284E-2</v>
      </c>
      <c r="AR10" s="4">
        <v>0.13999348109517601</v>
      </c>
      <c r="AS10" s="5">
        <v>3.9682155892940385E-2</v>
      </c>
      <c r="AT10" s="4">
        <v>5.4594199366317332E-3</v>
      </c>
      <c r="AU10" s="4">
        <v>1.6134535705581283E-2</v>
      </c>
      <c r="AV10" s="4">
        <v>4.728247623689983E-3</v>
      </c>
      <c r="AW10" s="4">
        <v>4.3431635388739946E-2</v>
      </c>
      <c r="AX10" s="4">
        <v>1.9107969778211064E-2</v>
      </c>
      <c r="AY10" s="4">
        <v>2.8759444309042165E-2</v>
      </c>
      <c r="AZ10" s="4">
        <v>6.4928101389227388E-2</v>
      </c>
      <c r="BA10" s="4">
        <v>0.74550329027540829</v>
      </c>
      <c r="BB10" s="4">
        <v>7.1947355593468196E-2</v>
      </c>
      <c r="BC10" s="5">
        <v>3.9622192605946426E-2</v>
      </c>
      <c r="BD10" s="4">
        <v>6.7223198594024605E-2</v>
      </c>
      <c r="BE10" s="4">
        <v>0.11452841241944933</v>
      </c>
      <c r="BF10" s="4">
        <v>1.3962116774067565E-2</v>
      </c>
      <c r="BG10" s="4">
        <v>0.15255809412224175</v>
      </c>
      <c r="BH10" s="4">
        <v>7.7133372388205432E-2</v>
      </c>
      <c r="BI10" s="4">
        <v>0.14269673891818005</v>
      </c>
      <c r="BJ10" s="4">
        <v>0.15714704159343879</v>
      </c>
      <c r="BK10" s="4">
        <v>0.11028119507908611</v>
      </c>
      <c r="BL10" s="4">
        <v>0.16486037883225932</v>
      </c>
      <c r="BM10" s="5">
        <v>2.1227003595862919E-2</v>
      </c>
      <c r="BN10" s="4">
        <v>1.7404774922544195E-2</v>
      </c>
      <c r="BO10" s="4">
        <v>1.5400036449790414E-2</v>
      </c>
      <c r="BP10" s="4">
        <v>1.6220156734098778E-2</v>
      </c>
      <c r="BQ10" s="4">
        <v>7.0439219974485143E-2</v>
      </c>
      <c r="BR10" s="4">
        <v>1.7404774922544195E-2</v>
      </c>
      <c r="BS10" s="4">
        <v>0.37187898669582647</v>
      </c>
      <c r="BT10" s="4">
        <v>5.5677054856934576E-2</v>
      </c>
      <c r="BU10" s="4">
        <v>0.43530162201567341</v>
      </c>
      <c r="BV10" s="5">
        <v>8.7370377749365069E-2</v>
      </c>
      <c r="BW10" s="4">
        <v>1.2508578892603334E-2</v>
      </c>
      <c r="BX10" s="4">
        <v>2.9666364099271623E-2</v>
      </c>
      <c r="BY10" s="4">
        <v>5.091987867785428E-4</v>
      </c>
      <c r="BZ10" s="4">
        <v>0.79043149062410056</v>
      </c>
      <c r="CA10" s="4">
        <v>0.16684008944187384</v>
      </c>
      <c r="CB10" s="5">
        <v>0.99999806570041949</v>
      </c>
    </row>
    <row r="11" spans="1:80" x14ac:dyDescent="0.2">
      <c r="A11" t="s">
        <v>248</v>
      </c>
      <c r="B11" s="3" t="s">
        <v>0</v>
      </c>
      <c r="C11" s="5">
        <v>0.118606838489155</v>
      </c>
      <c r="D11" s="4">
        <v>2.0937092016827041E-2</v>
      </c>
      <c r="E11" s="4">
        <v>0.43867962542107891</v>
      </c>
      <c r="F11" s="4">
        <v>5.7411795045371757E-2</v>
      </c>
      <c r="G11" s="4">
        <v>2.5595151749593023E-2</v>
      </c>
      <c r="H11" s="4">
        <v>0.26060957722869621</v>
      </c>
      <c r="I11" s="4">
        <v>0.11737021098270554</v>
      </c>
      <c r="J11" s="4">
        <v>4.2389955353545122E-3</v>
      </c>
      <c r="K11" s="4">
        <v>1.0186483567848105E-2</v>
      </c>
      <c r="L11" s="4">
        <v>2.5498444627113453E-2</v>
      </c>
      <c r="M11" s="4">
        <v>3.9456505971664814E-2</v>
      </c>
      <c r="N11" s="5">
        <v>5.8612344149662201E-3</v>
      </c>
      <c r="O11" s="4">
        <v>0.98140900195694714</v>
      </c>
      <c r="P11" s="4">
        <v>1.8917155903457272E-2</v>
      </c>
      <c r="Q11" s="5">
        <v>0.34534829037771125</v>
      </c>
      <c r="R11" s="4">
        <v>3.02240231163957E-3</v>
      </c>
      <c r="S11" s="4">
        <v>2.5552031264703765E-2</v>
      </c>
      <c r="T11" s="4">
        <v>1.6606606107909727E-4</v>
      </c>
      <c r="U11" s="4">
        <v>8.4195492967102312E-3</v>
      </c>
      <c r="V11" s="4">
        <v>1.5167366911890883E-3</v>
      </c>
      <c r="W11" s="4">
        <v>3.3506595590392527E-2</v>
      </c>
      <c r="X11" s="4">
        <v>2.6919308500921668E-2</v>
      </c>
      <c r="Y11" s="4">
        <v>0.89694493802968156</v>
      </c>
      <c r="Z11" s="4">
        <v>3.935765647574605E-3</v>
      </c>
      <c r="AA11" s="5">
        <v>0.26798229012536851</v>
      </c>
      <c r="AB11" s="4">
        <v>0.45996247708319959</v>
      </c>
      <c r="AC11" s="4">
        <v>0.10120487084554969</v>
      </c>
      <c r="AD11" s="4">
        <v>0.43881125116813263</v>
      </c>
      <c r="AE11" s="5">
        <v>3.4525079430622941E-3</v>
      </c>
      <c r="AF11" s="4">
        <v>0.45570321151716503</v>
      </c>
      <c r="AG11" s="4">
        <v>0.29291251384274641</v>
      </c>
      <c r="AH11" s="4">
        <v>0.25193798449612403</v>
      </c>
      <c r="AI11" s="5">
        <v>2.3209800075702832E-2</v>
      </c>
      <c r="AJ11" s="4">
        <v>2.0673750102956922E-2</v>
      </c>
      <c r="AK11" s="4">
        <v>8.6483815171732148E-2</v>
      </c>
      <c r="AL11" s="4">
        <v>8.6730911786508519E-2</v>
      </c>
      <c r="AM11" s="4">
        <v>0.42319413557367597</v>
      </c>
      <c r="AN11" s="4">
        <v>0.13302034428794993</v>
      </c>
      <c r="AO11" s="4">
        <v>5.4855448480355819E-2</v>
      </c>
      <c r="AP11" s="4">
        <v>2.3144716250720697E-2</v>
      </c>
      <c r="AQ11" s="4">
        <v>3.4840622683469234E-2</v>
      </c>
      <c r="AR11" s="4">
        <v>0.13680915904785437</v>
      </c>
      <c r="AS11" s="5">
        <v>4.3431632313639126E-2</v>
      </c>
      <c r="AT11" s="4">
        <v>4.7537303578502575E-3</v>
      </c>
      <c r="AU11" s="4">
        <v>1.5185527532021657E-2</v>
      </c>
      <c r="AV11" s="4">
        <v>3.3892336810599057E-3</v>
      </c>
      <c r="AW11" s="4">
        <v>3.8337955015625688E-2</v>
      </c>
      <c r="AX11" s="4">
        <v>1.6506008186980062E-2</v>
      </c>
      <c r="AY11" s="4">
        <v>2.1127690479334479E-2</v>
      </c>
      <c r="AZ11" s="4">
        <v>4.6392887010871957E-2</v>
      </c>
      <c r="BA11" s="4">
        <v>0.7897794797306219</v>
      </c>
      <c r="BB11" s="4">
        <v>6.448347198380211E-2</v>
      </c>
      <c r="BC11" s="5">
        <v>4.2458583286496987E-2</v>
      </c>
      <c r="BD11" s="4">
        <v>7.1949572264745604E-2</v>
      </c>
      <c r="BE11" s="4">
        <v>0.10877982890589824</v>
      </c>
      <c r="BF11" s="4">
        <v>1.1166141377757767E-2</v>
      </c>
      <c r="BG11" s="4">
        <v>0.1464655560558307</v>
      </c>
      <c r="BH11" s="4">
        <v>8.5006753714542999E-2</v>
      </c>
      <c r="BI11" s="4">
        <v>0.14570013507429086</v>
      </c>
      <c r="BJ11" s="4">
        <v>0.1470508779828906</v>
      </c>
      <c r="BK11" s="4">
        <v>0.11814497973885638</v>
      </c>
      <c r="BL11" s="4">
        <v>0.16591625393966683</v>
      </c>
      <c r="BM11" s="5">
        <v>2.2678350901743076E-2</v>
      </c>
      <c r="BN11" s="4">
        <v>1.6016184776194892E-2</v>
      </c>
      <c r="BO11" s="4">
        <v>1.4583157717272191E-2</v>
      </c>
      <c r="BP11" s="4">
        <v>1.5426114810756132E-2</v>
      </c>
      <c r="BQ11" s="4">
        <v>6.524487903565708E-2</v>
      </c>
      <c r="BR11" s="4">
        <v>1.576329764814971E-2</v>
      </c>
      <c r="BS11" s="4">
        <v>0.36188148023265615</v>
      </c>
      <c r="BT11" s="4">
        <v>5.5550872460591753E-2</v>
      </c>
      <c r="BU11" s="4">
        <v>0.4551125347719801</v>
      </c>
      <c r="BV11" s="5">
        <v>0.12696282532145028</v>
      </c>
      <c r="BW11" s="4">
        <v>6.6100520974493333E-3</v>
      </c>
      <c r="BX11" s="4">
        <v>2.8201885144698405E-2</v>
      </c>
      <c r="BY11" s="4">
        <v>2.559701267804981E-4</v>
      </c>
      <c r="BZ11" s="4">
        <v>0.89675369650977199</v>
      </c>
      <c r="CA11" s="4">
        <v>6.820851025386214E-2</v>
      </c>
      <c r="CB11" s="5">
        <v>0.99999235324929558</v>
      </c>
    </row>
    <row r="12" spans="1:80" x14ac:dyDescent="0.2">
      <c r="A12" s="4" t="s">
        <v>160</v>
      </c>
      <c r="B12" s="3" t="s">
        <v>168</v>
      </c>
      <c r="C12" s="8">
        <v>5.4952918280288587E-2</v>
      </c>
      <c r="D12" s="8">
        <v>8.6570794877298424E-3</v>
      </c>
      <c r="E12" s="8">
        <v>5.5805966945696499E-2</v>
      </c>
      <c r="F12" s="8">
        <v>7.6912069829004795E-2</v>
      </c>
      <c r="G12" s="8">
        <v>0.13250339844029477</v>
      </c>
      <c r="H12" s="8">
        <v>9.0505831008084708E-2</v>
      </c>
      <c r="I12" s="8">
        <v>0.18609143593045718</v>
      </c>
      <c r="J12" s="8">
        <v>3.4556771839450523E-2</v>
      </c>
      <c r="K12" s="8">
        <v>0.14130357015096229</v>
      </c>
      <c r="L12" s="8">
        <v>6.5750876439865491E-2</v>
      </c>
      <c r="M12" s="8">
        <v>0.20805609215139156</v>
      </c>
      <c r="N12" s="8">
        <v>1.2860484774617154E-2</v>
      </c>
      <c r="O12" s="8">
        <v>0.6851115866707429</v>
      </c>
      <c r="P12" s="8">
        <v>0.31397126261082237</v>
      </c>
      <c r="Q12" s="8">
        <v>1.2604926379523875E-2</v>
      </c>
      <c r="R12" s="8">
        <v>1.5595757953836558E-3</v>
      </c>
      <c r="S12" s="8">
        <v>2.7448533998752338E-2</v>
      </c>
      <c r="T12" s="8">
        <v>3.1815346225826574E-2</v>
      </c>
      <c r="U12" s="8">
        <v>0.25452276980661259</v>
      </c>
      <c r="V12" s="8">
        <v>6.6126013724267005E-2</v>
      </c>
      <c r="W12" s="8">
        <v>3.0879600748596383E-2</v>
      </c>
      <c r="X12" s="8">
        <v>9.7005614472863377E-2</v>
      </c>
      <c r="Y12" s="8">
        <v>0.31721771678103555</v>
      </c>
      <c r="Z12" s="8">
        <v>0.17186525265127886</v>
      </c>
      <c r="AA12" s="8">
        <v>9.2803082427411587E-2</v>
      </c>
      <c r="AB12" s="8">
        <v>2.1606507371631925E-3</v>
      </c>
      <c r="AC12" s="8">
        <v>0.98775631248940854</v>
      </c>
      <c r="AD12" s="8">
        <v>1.0083036773428233E-2</v>
      </c>
      <c r="AE12" s="8">
        <v>2.7521673317737719E-3</v>
      </c>
      <c r="AF12" s="8">
        <v>8.7142857142857147E-2</v>
      </c>
      <c r="AG12" s="8">
        <v>0.85142857142857142</v>
      </c>
      <c r="AH12" s="8">
        <v>6.2857142857142861E-2</v>
      </c>
      <c r="AI12" s="8">
        <v>0.10892685132398908</v>
      </c>
      <c r="AJ12" s="8">
        <v>8.6987908319797871E-2</v>
      </c>
      <c r="AK12" s="8">
        <v>5.6560187691752389E-2</v>
      </c>
      <c r="AL12" s="8">
        <v>3.5986284064248329E-2</v>
      </c>
      <c r="AM12" s="8">
        <v>0.40519761775852736</v>
      </c>
      <c r="AN12" s="8">
        <v>0.10604584010106478</v>
      </c>
      <c r="AO12" s="8">
        <v>6.0711062985020756E-2</v>
      </c>
      <c r="AP12" s="8">
        <v>7.0673163688864823E-2</v>
      </c>
      <c r="AQ12" s="8">
        <v>7.0276123443421767E-2</v>
      </c>
      <c r="AR12" s="8">
        <v>0.10748962281176683</v>
      </c>
      <c r="AS12" s="8">
        <v>0.11096345514950166</v>
      </c>
      <c r="AT12" s="8">
        <v>5.8108634801403115E-3</v>
      </c>
      <c r="AU12" s="8">
        <v>0.12043368883534705</v>
      </c>
      <c r="AV12" s="8">
        <v>4.6238883180384792E-2</v>
      </c>
      <c r="AW12" s="8">
        <v>0.10626085107890727</v>
      </c>
      <c r="AX12" s="8">
        <v>0.12674060163696277</v>
      </c>
      <c r="AY12" s="8">
        <v>0.13630726712255961</v>
      </c>
      <c r="AZ12" s="8">
        <v>8.971406299826383E-2</v>
      </c>
      <c r="BA12" s="8">
        <v>9.5347766006448648E-2</v>
      </c>
      <c r="BB12" s="8">
        <v>0.27318144775537684</v>
      </c>
      <c r="BC12" s="8">
        <v>0.40626707818121055</v>
      </c>
      <c r="BD12" s="8">
        <v>4.286184337862424E-2</v>
      </c>
      <c r="BE12" s="8">
        <v>7.4178376495180581E-2</v>
      </c>
      <c r="BF12" s="8">
        <v>5.7581388146943835E-3</v>
      </c>
      <c r="BG12" s="8">
        <v>0.14011148530948786</v>
      </c>
      <c r="BH12" s="8">
        <v>9.4578639724383545E-2</v>
      </c>
      <c r="BI12" s="8">
        <v>0.14127279061665313</v>
      </c>
      <c r="BJ12" s="8">
        <v>0.12666937637905004</v>
      </c>
      <c r="BK12" s="8">
        <v>0.33302365191808925</v>
      </c>
      <c r="BL12" s="8">
        <v>4.1565052452289704E-2</v>
      </c>
      <c r="BM12" s="8">
        <v>0.15870176335292616</v>
      </c>
      <c r="BN12" s="8">
        <v>4.1149510714728103E-2</v>
      </c>
      <c r="BO12" s="8">
        <v>0.10593335810727116</v>
      </c>
      <c r="BP12" s="8">
        <v>3.6219497089062309E-2</v>
      </c>
      <c r="BQ12" s="8">
        <v>0.21332837854576986</v>
      </c>
      <c r="BR12" s="8">
        <v>5.4552211073950203E-2</v>
      </c>
      <c r="BS12" s="8">
        <v>0.16737272389446303</v>
      </c>
      <c r="BT12" s="8">
        <v>4.5906106775671994E-2</v>
      </c>
      <c r="BU12" s="8">
        <v>0.33561253561253562</v>
      </c>
      <c r="BV12" s="8">
        <v>3.9167272798757591E-2</v>
      </c>
      <c r="BW12" s="8">
        <v>4.015257980325236E-4</v>
      </c>
      <c r="BX12" s="8">
        <v>4.1156394298333667E-3</v>
      </c>
      <c r="BY12" s="8">
        <v>7.0267014655691631E-4</v>
      </c>
      <c r="BZ12" s="8">
        <v>0.74964866492672155</v>
      </c>
      <c r="CA12" s="8">
        <v>0.2449307367998394</v>
      </c>
      <c r="CB12" s="8">
        <v>1</v>
      </c>
    </row>
    <row r="13" spans="1:80" x14ac:dyDescent="0.2">
      <c r="A13" s="4" t="s">
        <v>161</v>
      </c>
      <c r="B13" s="3" t="s">
        <v>168</v>
      </c>
      <c r="C13" s="8">
        <v>4.9616533294483699E-2</v>
      </c>
      <c r="D13" s="8">
        <v>1.0836129753914989E-2</v>
      </c>
      <c r="E13" s="8">
        <v>5.823545861297539E-2</v>
      </c>
      <c r="F13" s="8">
        <v>9.2351789709172266E-2</v>
      </c>
      <c r="G13" s="8">
        <v>0.1363255033557047</v>
      </c>
      <c r="H13" s="8">
        <v>9.1512863534675609E-2</v>
      </c>
      <c r="I13" s="8">
        <v>0.18763982102908278</v>
      </c>
      <c r="J13" s="8">
        <v>3.2158836689038031E-2</v>
      </c>
      <c r="K13" s="8">
        <v>0.14380592841163312</v>
      </c>
      <c r="L13" s="8">
        <v>6.5645973154362422E-2</v>
      </c>
      <c r="M13" s="8">
        <v>0.18127796420581654</v>
      </c>
      <c r="N13" s="8">
        <v>1.1394736568259154E-2</v>
      </c>
      <c r="O13" s="8">
        <v>0.69406392694063923</v>
      </c>
      <c r="P13" s="8">
        <v>0.30624048706240486</v>
      </c>
      <c r="Q13" s="8">
        <v>1.2293134367704853E-2</v>
      </c>
      <c r="R13" s="8">
        <v>8.4650112866817154E-4</v>
      </c>
      <c r="S13" s="8">
        <v>3.1320541760722347E-2</v>
      </c>
      <c r="T13" s="8">
        <v>4.6557562076749437E-2</v>
      </c>
      <c r="U13" s="8">
        <v>0.23589164785553046</v>
      </c>
      <c r="V13" s="8">
        <v>6.5462753950338598E-2</v>
      </c>
      <c r="W13" s="8">
        <v>2.5677200902934537E-2</v>
      </c>
      <c r="X13" s="8">
        <v>8.0699774266365695E-2</v>
      </c>
      <c r="Y13" s="8">
        <v>0.34452595936794583</v>
      </c>
      <c r="Z13" s="8">
        <v>0.16845372460496613</v>
      </c>
      <c r="AA13" s="8">
        <v>0.10338512128370292</v>
      </c>
      <c r="AB13" s="8">
        <v>4.6636470390874016E-3</v>
      </c>
      <c r="AC13" s="8">
        <v>0.98523737627914776</v>
      </c>
      <c r="AD13" s="8">
        <v>1.0166079516859588E-2</v>
      </c>
      <c r="AE13" s="8">
        <v>2.4350395954088055E-3</v>
      </c>
      <c r="AF13" s="8">
        <v>7.9772079772079771E-2</v>
      </c>
      <c r="AG13" s="8">
        <v>0.84188034188034189</v>
      </c>
      <c r="AH13" s="8">
        <v>7.5498575498575499E-2</v>
      </c>
      <c r="AI13" s="8">
        <v>9.7311397164670424E-2</v>
      </c>
      <c r="AJ13" s="8">
        <v>8.4230412775361807E-2</v>
      </c>
      <c r="AK13" s="8">
        <v>5.624866329222214E-2</v>
      </c>
      <c r="AL13" s="8">
        <v>3.6322806016967274E-2</v>
      </c>
      <c r="AM13" s="8">
        <v>0.39702003279389747</v>
      </c>
      <c r="AN13" s="8">
        <v>0.10993084765095887</v>
      </c>
      <c r="AO13" s="8">
        <v>5.8458686818279031E-2</v>
      </c>
      <c r="AP13" s="8">
        <v>7.5176445426677119E-2</v>
      </c>
      <c r="AQ13" s="8">
        <v>7.1077208241249024E-2</v>
      </c>
      <c r="AR13" s="8">
        <v>0.11160618806587295</v>
      </c>
      <c r="AS13" s="8">
        <v>9.9555657304598477E-2</v>
      </c>
      <c r="AT13" s="8">
        <v>5.5747186509180861E-3</v>
      </c>
      <c r="AU13" s="8">
        <v>0.12473432981429218</v>
      </c>
      <c r="AV13" s="8">
        <v>4.9057524128079164E-2</v>
      </c>
      <c r="AW13" s="8">
        <v>0.10226124525277865</v>
      </c>
      <c r="AX13" s="8">
        <v>0.12557053761192991</v>
      </c>
      <c r="AY13" s="8">
        <v>0.13219051600989512</v>
      </c>
      <c r="AZ13" s="8">
        <v>0.10658165220724017</v>
      </c>
      <c r="BA13" s="8">
        <v>8.6373297097662102E-2</v>
      </c>
      <c r="BB13" s="8">
        <v>0.26776070520190937</v>
      </c>
      <c r="BC13" s="8">
        <v>0.40907624587656222</v>
      </c>
      <c r="BD13" s="8">
        <v>4.0387338573596873E-2</v>
      </c>
      <c r="BE13" s="8">
        <v>7.5212196755785068E-2</v>
      </c>
      <c r="BF13" s="8">
        <v>5.4183307471191268E-3</v>
      </c>
      <c r="BG13" s="8">
        <v>0.11345424944671975</v>
      </c>
      <c r="BH13" s="8">
        <v>8.8940330526654968E-2</v>
      </c>
      <c r="BI13" s="8">
        <v>0.13214282685931841</v>
      </c>
      <c r="BJ13" s="8">
        <v>0.12411284373330619</v>
      </c>
      <c r="BK13" s="8">
        <v>0.31634911347968764</v>
      </c>
      <c r="BL13" s="8">
        <v>0.10400820805033366</v>
      </c>
      <c r="BM13" s="8">
        <v>0.14072933251471603</v>
      </c>
      <c r="BN13" s="8">
        <v>4.0151832589780875E-2</v>
      </c>
      <c r="BO13" s="8">
        <v>0.10490251657587932</v>
      </c>
      <c r="BP13" s="8">
        <v>3.7884203002144387E-2</v>
      </c>
      <c r="BQ13" s="8">
        <v>0.21532621823469966</v>
      </c>
      <c r="BR13" s="8">
        <v>5.3659017524833007E-2</v>
      </c>
      <c r="BS13" s="8">
        <v>0.16129747849449114</v>
      </c>
      <c r="BT13" s="8">
        <v>4.4884276946587462E-2</v>
      </c>
      <c r="BU13" s="8">
        <v>0.34179586404081735</v>
      </c>
      <c r="BV13" s="8">
        <v>7.4220145616755287E-2</v>
      </c>
      <c r="BW13" s="8">
        <v>5.6082628405851288E-4</v>
      </c>
      <c r="BX13" s="8">
        <v>9.8144599710239745E-4</v>
      </c>
      <c r="BY13" s="8">
        <v>1.4020657101462822E-4</v>
      </c>
      <c r="BZ13" s="8">
        <v>0.29069495723699584</v>
      </c>
      <c r="CA13" s="8">
        <v>0.70757582838715705</v>
      </c>
      <c r="CB13" s="8">
        <v>1.0000173435868618</v>
      </c>
    </row>
    <row r="14" spans="1:80" x14ac:dyDescent="0.2">
      <c r="A14" s="4" t="s">
        <v>162</v>
      </c>
      <c r="B14" s="3" t="s">
        <v>168</v>
      </c>
      <c r="C14" s="8">
        <v>4.9768130241736555E-2</v>
      </c>
      <c r="D14" s="8">
        <v>1.1102299762093577E-2</v>
      </c>
      <c r="E14" s="8">
        <v>5.4321966693100715E-2</v>
      </c>
      <c r="F14" s="8">
        <v>9.3840867036743325E-2</v>
      </c>
      <c r="G14" s="8">
        <v>0.13302934179222839</v>
      </c>
      <c r="H14" s="8">
        <v>9.7739888977002379E-2</v>
      </c>
      <c r="I14" s="8">
        <v>0.17492730637060533</v>
      </c>
      <c r="J14" s="8">
        <v>3.191911181601903E-2</v>
      </c>
      <c r="K14" s="8">
        <v>0.13421887390959555</v>
      </c>
      <c r="L14" s="8">
        <v>7.2693629394660328E-2</v>
      </c>
      <c r="M14" s="8">
        <v>0.19627279936558287</v>
      </c>
      <c r="N14" s="8">
        <v>1.1646110837033383E-2</v>
      </c>
      <c r="O14" s="8">
        <v>0.70036712792996325</v>
      </c>
      <c r="P14" s="8">
        <v>0.30019768426998023</v>
      </c>
      <c r="Q14" s="8">
        <v>1.3106396974181879E-2</v>
      </c>
      <c r="R14" s="8">
        <v>5.018820577164366E-4</v>
      </c>
      <c r="S14" s="8">
        <v>2.8858218318695106E-2</v>
      </c>
      <c r="T14" s="8">
        <v>4.0150564617314928E-2</v>
      </c>
      <c r="U14" s="8">
        <v>0.2612296110414053</v>
      </c>
      <c r="V14" s="8">
        <v>7.1267252195734002E-2</v>
      </c>
      <c r="W14" s="8">
        <v>2.4843161856963614E-2</v>
      </c>
      <c r="X14" s="8">
        <v>7.9297365119196994E-2</v>
      </c>
      <c r="Y14" s="8">
        <v>0.32772898368883313</v>
      </c>
      <c r="Z14" s="8">
        <v>0.16612296110414052</v>
      </c>
      <c r="AA14" s="8">
        <v>0.13324124321657621</v>
      </c>
      <c r="AB14" s="8">
        <v>4.3937598736176935E-3</v>
      </c>
      <c r="AC14" s="8">
        <v>0.98605351500789884</v>
      </c>
      <c r="AD14" s="8">
        <v>9.6267772511848346E-3</v>
      </c>
      <c r="AE14" s="8">
        <v>2.4864331524420327E-3</v>
      </c>
      <c r="AF14" s="8">
        <v>9.2592592592592587E-2</v>
      </c>
      <c r="AG14" s="8">
        <v>0.82936507936507942</v>
      </c>
      <c r="AH14" s="8">
        <v>7.1428571428571425E-2</v>
      </c>
      <c r="AI14" s="8">
        <v>9.8131886202927149E-2</v>
      </c>
      <c r="AJ14" s="8">
        <v>8.4023192680229244E-2</v>
      </c>
      <c r="AK14" s="8">
        <v>3.710158528002145E-2</v>
      </c>
      <c r="AL14" s="8">
        <v>3.7235647015450617E-2</v>
      </c>
      <c r="AM14" s="8">
        <v>0.39487884170660587</v>
      </c>
      <c r="AN14" s="8">
        <v>0.12048798471696216</v>
      </c>
      <c r="AO14" s="8">
        <v>6.4182055836712812E-2</v>
      </c>
      <c r="AP14" s="8">
        <v>8.2447967288936552E-2</v>
      </c>
      <c r="AQ14" s="8">
        <v>7.3599892750611656E-2</v>
      </c>
      <c r="AR14" s="8">
        <v>0.10594228642289774</v>
      </c>
      <c r="AS14" s="8">
        <v>0.10670284492682125</v>
      </c>
      <c r="AT14" s="8">
        <v>4.7467866720093703E-3</v>
      </c>
      <c r="AU14" s="8">
        <v>0.12224516844928028</v>
      </c>
      <c r="AV14" s="8">
        <v>4.9193970964460744E-2</v>
      </c>
      <c r="AW14" s="8">
        <v>9.7494066516659983E-2</v>
      </c>
      <c r="AX14" s="8">
        <v>0.11762167493758284</v>
      </c>
      <c r="AY14" s="8">
        <v>0.12446444533489505</v>
      </c>
      <c r="AZ14" s="8">
        <v>0.12024165459421139</v>
      </c>
      <c r="BA14" s="8">
        <v>8.5534629966402612E-2</v>
      </c>
      <c r="BB14" s="8">
        <v>0.27861171901488763</v>
      </c>
      <c r="BC14" s="8">
        <v>0.39928959052787372</v>
      </c>
      <c r="BD14" s="8">
        <v>4.8894599848439919E-2</v>
      </c>
      <c r="BE14" s="8">
        <v>8.6356297980297189E-2</v>
      </c>
      <c r="BF14" s="8">
        <v>6.185957629073177E-3</v>
      </c>
      <c r="BG14" s="8">
        <v>0.12315903924088169</v>
      </c>
      <c r="BH14" s="8">
        <v>9.8077493328061677E-2</v>
      </c>
      <c r="BI14" s="8">
        <v>0.14139567065335573</v>
      </c>
      <c r="BJ14" s="8">
        <v>0.13857039306777372</v>
      </c>
      <c r="BK14" s="8">
        <v>0.32199103818655067</v>
      </c>
      <c r="BL14" s="8">
        <v>3.5369510065566212E-2</v>
      </c>
      <c r="BM14" s="8">
        <v>0.14569643150797565</v>
      </c>
      <c r="BN14" s="8">
        <v>4.0384658795909613E-2</v>
      </c>
      <c r="BO14" s="8">
        <v>0.11002505699902933</v>
      </c>
      <c r="BP14" s="8">
        <v>4.16036479378767E-2</v>
      </c>
      <c r="BQ14" s="8">
        <v>0.21397774216122259</v>
      </c>
      <c r="BR14" s="8">
        <v>5.2461680850583538E-2</v>
      </c>
      <c r="BS14" s="8">
        <v>0.16623400076751169</v>
      </c>
      <c r="BT14" s="8">
        <v>4.3657870380821237E-2</v>
      </c>
      <c r="BU14" s="8">
        <v>0.33163276823404592</v>
      </c>
      <c r="BV14" s="8">
        <v>3.9927643479690841E-2</v>
      </c>
      <c r="BW14" s="8">
        <v>4.1186161449752884E-4</v>
      </c>
      <c r="BX14" s="8">
        <v>2.4711696869851728E-3</v>
      </c>
      <c r="BY14" s="8">
        <v>5.7660626029654041E-4</v>
      </c>
      <c r="BZ14" s="8">
        <v>0.52594728171334426</v>
      </c>
      <c r="CA14" s="8">
        <v>0.47042833607907741</v>
      </c>
      <c r="CB14" s="8">
        <v>0.99999671106725863</v>
      </c>
    </row>
    <row r="15" spans="1:80" x14ac:dyDescent="0.2">
      <c r="A15" s="4" t="s">
        <v>163</v>
      </c>
      <c r="B15" s="3" t="s">
        <v>168</v>
      </c>
      <c r="C15" s="8">
        <v>5.507415078572845E-2</v>
      </c>
      <c r="D15" s="8">
        <v>8.5606328964458606E-3</v>
      </c>
      <c r="E15" s="8">
        <v>6.0750974140984765E-2</v>
      </c>
      <c r="F15" s="8">
        <v>8.7200377848624389E-2</v>
      </c>
      <c r="G15" s="8">
        <v>0.12008501594048884</v>
      </c>
      <c r="H15" s="8">
        <v>0.11311843192820877</v>
      </c>
      <c r="I15" s="8">
        <v>0.16566300625811783</v>
      </c>
      <c r="J15" s="8">
        <v>2.8633841067422363E-2</v>
      </c>
      <c r="K15" s="8">
        <v>0.12581178415397332</v>
      </c>
      <c r="L15" s="8">
        <v>7.3090093281379151E-2</v>
      </c>
      <c r="M15" s="8">
        <v>0.2171448813319164</v>
      </c>
      <c r="N15" s="8">
        <v>1.2349251663962491E-2</v>
      </c>
      <c r="O15" s="8">
        <v>0.70774091627172198</v>
      </c>
      <c r="P15" s="8">
        <v>0.29304897314375988</v>
      </c>
      <c r="Q15" s="8">
        <v>1.0203252164695706E-2</v>
      </c>
      <c r="R15" s="8">
        <v>2.2307202039515616E-3</v>
      </c>
      <c r="S15" s="8">
        <v>4.0471637985978332E-2</v>
      </c>
      <c r="T15" s="8">
        <v>4.6845124282982792E-2</v>
      </c>
      <c r="U15" s="8">
        <v>0.25525812619502869</v>
      </c>
      <c r="V15" s="8">
        <v>8.2855321861057998E-2</v>
      </c>
      <c r="W15" s="8">
        <v>3.1230082855321861E-2</v>
      </c>
      <c r="X15" s="8">
        <v>9.1140854047163794E-2</v>
      </c>
      <c r="Y15" s="8">
        <v>0.23709369024856597</v>
      </c>
      <c r="Z15" s="8">
        <v>0.21191841937539835</v>
      </c>
      <c r="AA15" s="8">
        <v>0.12613924935538728</v>
      </c>
      <c r="AB15" s="8">
        <v>5.2327679538072894E-3</v>
      </c>
      <c r="AC15" s="8">
        <v>0.98873537144919321</v>
      </c>
      <c r="AD15" s="8">
        <v>6.0834149610764551E-3</v>
      </c>
      <c r="AE15" s="8">
        <v>2.3573479348006333E-3</v>
      </c>
      <c r="AF15" s="8">
        <v>0.11448275862068966</v>
      </c>
      <c r="AG15" s="8">
        <v>0.79862068965517241</v>
      </c>
      <c r="AH15" s="8">
        <v>8.827586206896551E-2</v>
      </c>
      <c r="AI15" s="8">
        <v>0.10087498252311014</v>
      </c>
      <c r="AJ15" s="8">
        <v>7.2846828261990723E-2</v>
      </c>
      <c r="AK15" s="8">
        <v>3.3232336255801957E-2</v>
      </c>
      <c r="AL15" s="8">
        <v>3.4940691077875195E-2</v>
      </c>
      <c r="AM15" s="8">
        <v>0.42264053635894794</v>
      </c>
      <c r="AN15" s="8">
        <v>0.1245809695719443</v>
      </c>
      <c r="AO15" s="8">
        <v>6.9301186178442498E-2</v>
      </c>
      <c r="AP15" s="8">
        <v>7.1267405879319234E-2</v>
      </c>
      <c r="AQ15" s="8">
        <v>7.1750902527075819E-2</v>
      </c>
      <c r="AR15" s="8">
        <v>9.960030943785457E-2</v>
      </c>
      <c r="AS15" s="8">
        <v>0.10497839368685966</v>
      </c>
      <c r="AT15" s="8">
        <v>4.4291643436783741E-3</v>
      </c>
      <c r="AU15" s="8">
        <v>0.13138821780338228</v>
      </c>
      <c r="AV15" s="8">
        <v>4.6986309855664994E-2</v>
      </c>
      <c r="AW15" s="8">
        <v>0.10332651923434306</v>
      </c>
      <c r="AX15" s="8">
        <v>0.11875116149414607</v>
      </c>
      <c r="AY15" s="8">
        <v>0.12729975840921762</v>
      </c>
      <c r="AZ15" s="8">
        <v>0.10131326271448925</v>
      </c>
      <c r="BA15" s="8">
        <v>8.9016911354766776E-2</v>
      </c>
      <c r="BB15" s="8">
        <v>0.27742674843585458</v>
      </c>
      <c r="BC15" s="8">
        <v>0.4008662034342495</v>
      </c>
      <c r="BD15" s="8">
        <v>5.1181804908910986E-2</v>
      </c>
      <c r="BE15" s="8">
        <v>8.6692730723683137E-2</v>
      </c>
      <c r="BF15" s="8">
        <v>7.0080949986210924E-3</v>
      </c>
      <c r="BG15" s="8">
        <v>0.12690816475512223</v>
      </c>
      <c r="BH15" s="8">
        <v>9.5201401618999718E-2</v>
      </c>
      <c r="BI15" s="8">
        <v>0.14314682932368639</v>
      </c>
      <c r="BJ15" s="8">
        <v>0.14154891877423229</v>
      </c>
      <c r="BK15" s="8">
        <v>0.3024349885631783</v>
      </c>
      <c r="BL15" s="8">
        <v>4.5909511217818728E-2</v>
      </c>
      <c r="BM15" s="8">
        <v>0.15057112850310031</v>
      </c>
      <c r="BN15" s="8">
        <v>3.761769024790533E-2</v>
      </c>
      <c r="BO15" s="8">
        <v>0.1076055973050013</v>
      </c>
      <c r="BP15" s="8">
        <v>4.0727304137514034E-2</v>
      </c>
      <c r="BQ15" s="8">
        <v>0.22037228988511703</v>
      </c>
      <c r="BR15" s="8">
        <v>5.5368402867755032E-2</v>
      </c>
      <c r="BS15" s="8">
        <v>0.16683942299386714</v>
      </c>
      <c r="BT15" s="8">
        <v>4.4873455990325647E-2</v>
      </c>
      <c r="BU15" s="8">
        <v>0.326790187440615</v>
      </c>
      <c r="BV15" s="8">
        <v>3.6582788433713001E-2</v>
      </c>
      <c r="BW15" s="8">
        <v>4.4440494178295264E-4</v>
      </c>
      <c r="BX15" s="8">
        <v>2.9330726157674875E-3</v>
      </c>
      <c r="BY15" s="8">
        <v>1.7776197671318106E-4</v>
      </c>
      <c r="BZ15" s="8">
        <v>0.60190205315083101</v>
      </c>
      <c r="CA15" s="8">
        <v>0.39409830237312238</v>
      </c>
      <c r="CB15" s="8">
        <v>0.99999674848560716</v>
      </c>
    </row>
    <row r="16" spans="1:80" x14ac:dyDescent="0.2">
      <c r="A16" s="4" t="s">
        <v>164</v>
      </c>
      <c r="B16" s="3" t="s">
        <v>168</v>
      </c>
      <c r="C16" s="8">
        <v>5.9968733289509982E-2</v>
      </c>
      <c r="D16" s="8">
        <v>8.9169080479354797E-3</v>
      </c>
      <c r="E16" s="8">
        <v>5.1400011359118529E-2</v>
      </c>
      <c r="F16" s="8">
        <v>9.0248196739932979E-2</v>
      </c>
      <c r="G16" s="8">
        <v>0.10688930538990174</v>
      </c>
      <c r="H16" s="8">
        <v>0.11858919747827569</v>
      </c>
      <c r="I16" s="8">
        <v>0.17646390640086329</v>
      </c>
      <c r="J16" s="8">
        <v>2.7773044811722609E-2</v>
      </c>
      <c r="K16" s="8">
        <v>0.12540466859771682</v>
      </c>
      <c r="L16" s="8">
        <v>7.6958028057022773E-2</v>
      </c>
      <c r="M16" s="8">
        <v>0.21718634633952405</v>
      </c>
      <c r="N16" s="8">
        <v>1.1835710125577737E-2</v>
      </c>
      <c r="O16" s="8">
        <v>0.74388489208633091</v>
      </c>
      <c r="P16" s="8">
        <v>0.2564028776978417</v>
      </c>
      <c r="Q16" s="8">
        <v>1.1093210900433579E-2</v>
      </c>
      <c r="R16" s="8">
        <v>2.1492170709241634E-3</v>
      </c>
      <c r="S16" s="8">
        <v>4.3291372428615291E-2</v>
      </c>
      <c r="T16" s="8">
        <v>3.7457783236106844E-2</v>
      </c>
      <c r="U16" s="8">
        <v>0.2459318391157507</v>
      </c>
      <c r="V16" s="8">
        <v>7.3687442431685596E-2</v>
      </c>
      <c r="W16" s="8">
        <v>2.9782007982806263E-2</v>
      </c>
      <c r="X16" s="8">
        <v>9.1495241019342949E-2</v>
      </c>
      <c r="Y16" s="8">
        <v>0.2671169788148603</v>
      </c>
      <c r="Z16" s="8">
        <v>0.21062327295056801</v>
      </c>
      <c r="AA16" s="8">
        <v>7.8704917865280666E-2</v>
      </c>
      <c r="AB16" s="8">
        <v>6.4047083261208242E-3</v>
      </c>
      <c r="AC16" s="8">
        <v>0.98320927817206161</v>
      </c>
      <c r="AD16" s="8">
        <v>1.0472563614332698E-2</v>
      </c>
      <c r="AE16" s="8">
        <v>2.6089651672496533E-3</v>
      </c>
      <c r="AF16" s="8">
        <v>0.11096605744125326</v>
      </c>
      <c r="AG16" s="8">
        <v>0.81853785900783294</v>
      </c>
      <c r="AH16" s="8">
        <v>7.1801566579634463E-2</v>
      </c>
      <c r="AI16" s="8">
        <v>0.11338780598290889</v>
      </c>
      <c r="AJ16" s="8">
        <v>8.0141780060677056E-2</v>
      </c>
      <c r="AK16" s="8">
        <v>3.1329788831816405E-2</v>
      </c>
      <c r="AL16" s="8">
        <v>3.2561352918206124E-2</v>
      </c>
      <c r="AM16" s="8">
        <v>0.41458652488660597</v>
      </c>
      <c r="AN16" s="8">
        <v>0.11925144934066265</v>
      </c>
      <c r="AO16" s="8">
        <v>6.3740951007779878E-2</v>
      </c>
      <c r="AP16" s="8">
        <v>6.4221561382956358E-2</v>
      </c>
      <c r="AQ16" s="8">
        <v>6.8907512540926974E-2</v>
      </c>
      <c r="AR16" s="8">
        <v>0.12516896458502297</v>
      </c>
      <c r="AS16" s="8">
        <v>0.11716160938410029</v>
      </c>
      <c r="AT16" s="8">
        <v>3.9245326899037761E-3</v>
      </c>
      <c r="AU16" s="8">
        <v>0.11886973458530771</v>
      </c>
      <c r="AV16" s="8">
        <v>4.1251199162766358E-2</v>
      </c>
      <c r="AW16" s="8">
        <v>9.5177185383296031E-2</v>
      </c>
      <c r="AX16" s="8">
        <v>0.1714003314049827</v>
      </c>
      <c r="AY16" s="8">
        <v>0.11247419983139045</v>
      </c>
      <c r="AZ16" s="8">
        <v>9.1107299630803218E-2</v>
      </c>
      <c r="BA16" s="8">
        <v>0.10453792261402947</v>
      </c>
      <c r="BB16" s="8">
        <v>0.26128666531003808</v>
      </c>
      <c r="BC16" s="8">
        <v>0.40785005602803787</v>
      </c>
      <c r="BD16" s="8">
        <v>4.7525595844537603E-2</v>
      </c>
      <c r="BE16" s="8">
        <v>8.852070215289029E-2</v>
      </c>
      <c r="BF16" s="8">
        <v>6.2716082374359057E-3</v>
      </c>
      <c r="BG16" s="8">
        <v>0.13088537404172165</v>
      </c>
      <c r="BH16" s="8">
        <v>0.10401182502964608</v>
      </c>
      <c r="BI16" s="8">
        <v>0.14687755749670134</v>
      </c>
      <c r="BJ16" s="8">
        <v>0.14935780735890969</v>
      </c>
      <c r="BK16" s="8">
        <v>0.27977552486095569</v>
      </c>
      <c r="BL16" s="8">
        <v>4.672389891937935E-2</v>
      </c>
      <c r="BM16" s="8">
        <v>0.15680357489535188</v>
      </c>
      <c r="BN16" s="8">
        <v>3.7490768495590597E-2</v>
      </c>
      <c r="BO16" s="8">
        <v>0.11347148008167167</v>
      </c>
      <c r="BP16" s="8">
        <v>3.284243451062166E-2</v>
      </c>
      <c r="BQ16" s="8">
        <v>0.22125200920978322</v>
      </c>
      <c r="BR16" s="8">
        <v>4.5766540683782962E-2</v>
      </c>
      <c r="BS16" s="8">
        <v>0.16851296754854686</v>
      </c>
      <c r="BT16" s="8">
        <v>4.0814110082974933E-2</v>
      </c>
      <c r="BU16" s="8">
        <v>0.33991485294756507</v>
      </c>
      <c r="BV16" s="8">
        <v>4.0578604442052704E-2</v>
      </c>
      <c r="BW16" s="8">
        <v>1.6786973308712439E-4</v>
      </c>
      <c r="BX16" s="8">
        <v>5.036091992613732E-3</v>
      </c>
      <c r="BY16" s="8">
        <v>1.0072183985227463E-3</v>
      </c>
      <c r="BZ16" s="8">
        <v>0.77287225113312075</v>
      </c>
      <c r="CA16" s="8">
        <v>0.22091656874265569</v>
      </c>
      <c r="CB16" s="8">
        <v>0.9999931880805033</v>
      </c>
    </row>
    <row r="17" spans="1:80" x14ac:dyDescent="0.2">
      <c r="A17" s="4" t="s">
        <v>165</v>
      </c>
      <c r="B17" s="3" t="s">
        <v>168</v>
      </c>
      <c r="C17" s="8">
        <v>4.9692036555896726E-2</v>
      </c>
      <c r="D17" s="8">
        <v>9.5063985374771488E-3</v>
      </c>
      <c r="E17" s="8">
        <v>5.8866544789762339E-2</v>
      </c>
      <c r="F17" s="8">
        <v>8.762949421084705E-2</v>
      </c>
      <c r="G17" s="8">
        <v>0.11419865935405241</v>
      </c>
      <c r="H17" s="8">
        <v>0.10524070688604509</v>
      </c>
      <c r="I17" s="8">
        <v>0.17288238878732481</v>
      </c>
      <c r="J17" s="8">
        <v>2.9920780012187689E-2</v>
      </c>
      <c r="K17" s="8">
        <v>0.13187081048141377</v>
      </c>
      <c r="L17" s="8">
        <v>7.4344911639244365E-2</v>
      </c>
      <c r="M17" s="8">
        <v>0.2154174283973187</v>
      </c>
      <c r="N17" s="8">
        <v>1.0444109328536734E-2</v>
      </c>
      <c r="O17" s="8">
        <v>0.79559292548564797</v>
      </c>
      <c r="P17" s="8">
        <v>0.20411713540156567</v>
      </c>
      <c r="Q17" s="8">
        <v>1.2860577650998989E-2</v>
      </c>
      <c r="R17" s="8">
        <v>4.7092064987049682E-4</v>
      </c>
      <c r="S17" s="8">
        <v>2.4016953143395338E-2</v>
      </c>
      <c r="T17" s="8">
        <v>3.1551683541323289E-2</v>
      </c>
      <c r="U17" s="8">
        <v>0.24746880150694608</v>
      </c>
      <c r="V17" s="8">
        <v>6.61643513068048E-2</v>
      </c>
      <c r="W17" s="8">
        <v>2.7077937367553567E-2</v>
      </c>
      <c r="X17" s="8">
        <v>0.10030609842241582</v>
      </c>
      <c r="Y17" s="8">
        <v>0.335530963032729</v>
      </c>
      <c r="Z17" s="8">
        <v>0.16764775135389687</v>
      </c>
      <c r="AA17" s="8">
        <v>0.10462883894450602</v>
      </c>
      <c r="AB17" s="8">
        <v>5.788376939106275E-3</v>
      </c>
      <c r="AC17" s="8">
        <v>0.98529752257467007</v>
      </c>
      <c r="AD17" s="8">
        <v>8.9719842556147261E-3</v>
      </c>
      <c r="AE17" s="8">
        <v>2.516397463616708E-3</v>
      </c>
      <c r="AF17" s="8">
        <v>0.10830324909747292</v>
      </c>
      <c r="AG17" s="8">
        <v>0.81829121540312877</v>
      </c>
      <c r="AH17" s="8">
        <v>7.3405535499398308E-2</v>
      </c>
      <c r="AI17" s="8">
        <v>0.11210535559633472</v>
      </c>
      <c r="AJ17" s="8">
        <v>8.2412684692471844E-2</v>
      </c>
      <c r="AK17" s="8">
        <v>3.4737041138813103E-2</v>
      </c>
      <c r="AL17" s="8">
        <v>3.1117473866184058E-2</v>
      </c>
      <c r="AM17" s="8">
        <v>0.3989627508711272</v>
      </c>
      <c r="AN17" s="8">
        <v>0.10429215850463251</v>
      </c>
      <c r="AO17" s="8">
        <v>8.8841468355798064E-2</v>
      </c>
      <c r="AP17" s="8">
        <v>7.2310310364387786E-2</v>
      </c>
      <c r="AQ17" s="8">
        <v>6.6124631965641126E-2</v>
      </c>
      <c r="AR17" s="8">
        <v>0.12128251532913752</v>
      </c>
      <c r="AS17" s="8">
        <v>0.11197211674146211</v>
      </c>
      <c r="AT17" s="8">
        <v>4.7056278227005973E-3</v>
      </c>
      <c r="AU17" s="8">
        <v>0.11761365172945344</v>
      </c>
      <c r="AV17" s="8">
        <v>4.5379560267193121E-2</v>
      </c>
      <c r="AW17" s="8">
        <v>8.7000027043838066E-2</v>
      </c>
      <c r="AX17" s="8">
        <v>0.12688968818454716</v>
      </c>
      <c r="AY17" s="8">
        <v>0.1157746707412716</v>
      </c>
      <c r="AZ17" s="8">
        <v>0.10952754414906564</v>
      </c>
      <c r="BA17" s="8">
        <v>0.10968980717743462</v>
      </c>
      <c r="BB17" s="8">
        <v>0.28339237904643427</v>
      </c>
      <c r="BC17" s="8">
        <v>0.4100274350914806</v>
      </c>
      <c r="BD17" s="8">
        <v>3.9525866843912703E-2</v>
      </c>
      <c r="BE17" s="8">
        <v>9.5794099183929698E-2</v>
      </c>
      <c r="BF17" s="8">
        <v>7.1710793545290055E-3</v>
      </c>
      <c r="BG17" s="8">
        <v>0.12506923673424172</v>
      </c>
      <c r="BH17" s="8">
        <v>9.7514862818950554E-2</v>
      </c>
      <c r="BI17" s="8">
        <v>0.13058601971862191</v>
      </c>
      <c r="BJ17" s="8">
        <v>0.14514973597725342</v>
      </c>
      <c r="BK17" s="8">
        <v>0.31665004985044864</v>
      </c>
      <c r="BL17" s="8">
        <v>4.2531664266459879E-2</v>
      </c>
      <c r="BM17" s="8">
        <v>0.15180447803678604</v>
      </c>
      <c r="BN17" s="8">
        <v>3.9057668907462449E-2</v>
      </c>
      <c r="BO17" s="8">
        <v>0.11264487043944864</v>
      </c>
      <c r="BP17" s="8">
        <v>3.2554706668528458E-2</v>
      </c>
      <c r="BQ17" s="8">
        <v>0.21910594243083123</v>
      </c>
      <c r="BR17" s="8">
        <v>4.8093993736410608E-2</v>
      </c>
      <c r="BS17" s="8">
        <v>0.16307274939658095</v>
      </c>
      <c r="BT17" s="8">
        <v>4.1231972232750193E-2</v>
      </c>
      <c r="BU17" s="8">
        <v>0.34429793939877523</v>
      </c>
      <c r="BV17" s="8">
        <v>3.3948654590381364E-2</v>
      </c>
      <c r="BW17" s="8">
        <v>3.5679243600035679E-4</v>
      </c>
      <c r="BX17" s="8">
        <v>4.995094104004995E-3</v>
      </c>
      <c r="BY17" s="8">
        <v>9.8117919900098127E-4</v>
      </c>
      <c r="BZ17" s="8">
        <v>0.58201766122558207</v>
      </c>
      <c r="CA17" s="8">
        <v>0.41164927303541166</v>
      </c>
      <c r="CB17" s="8">
        <v>1</v>
      </c>
    </row>
    <row r="18" spans="1:80" x14ac:dyDescent="0.2">
      <c r="A18" s="4" t="s">
        <v>166</v>
      </c>
      <c r="B18" s="3" t="s">
        <v>168</v>
      </c>
      <c r="C18" s="8">
        <v>4.6805530908724656E-2</v>
      </c>
      <c r="D18" s="8">
        <v>8.5562045291525772E-3</v>
      </c>
      <c r="E18" s="8">
        <v>5.4821190695768011E-2</v>
      </c>
      <c r="F18" s="8">
        <v>9.2683676606209658E-2</v>
      </c>
      <c r="G18" s="8">
        <v>0.12547392150835127</v>
      </c>
      <c r="H18" s="8">
        <v>0.10303309765344811</v>
      </c>
      <c r="I18" s="8">
        <v>0.162055538477303</v>
      </c>
      <c r="J18" s="8">
        <v>2.8947638077671891E-2</v>
      </c>
      <c r="K18" s="8">
        <v>0.13146838815452402</v>
      </c>
      <c r="L18" s="8">
        <v>8.5049697714929803E-2</v>
      </c>
      <c r="M18" s="8">
        <v>0.20816682037093964</v>
      </c>
      <c r="N18" s="8">
        <v>9.2325696279634151E-3</v>
      </c>
      <c r="O18" s="8">
        <v>0.82337662337662343</v>
      </c>
      <c r="P18" s="8">
        <v>0.17714285714285713</v>
      </c>
      <c r="Q18" s="8">
        <v>1.1158219864652928E-2</v>
      </c>
      <c r="R18" s="8">
        <v>8.596604341285192E-4</v>
      </c>
      <c r="S18" s="8">
        <v>2.9013539651837523E-2</v>
      </c>
      <c r="T18" s="8">
        <v>3.1807436062755212E-2</v>
      </c>
      <c r="U18" s="8">
        <v>0.31033741672039544</v>
      </c>
      <c r="V18" s="8">
        <v>7.8444014614227384E-2</v>
      </c>
      <c r="W18" s="8">
        <v>2.6864388566516226E-2</v>
      </c>
      <c r="X18" s="8">
        <v>0.12980872555340642</v>
      </c>
      <c r="Y18" s="8">
        <v>0.20309477756286268</v>
      </c>
      <c r="Z18" s="8">
        <v>0.18934021061680636</v>
      </c>
      <c r="AA18" s="8">
        <v>0.15780739660721052</v>
      </c>
      <c r="AB18" s="8">
        <v>5.6985685195878799E-3</v>
      </c>
      <c r="AC18" s="8">
        <v>0.98899796371151572</v>
      </c>
      <c r="AD18" s="8">
        <v>5.3490563170531559E-3</v>
      </c>
      <c r="AE18" s="8">
        <v>2.6234886163615523E-3</v>
      </c>
      <c r="AF18" s="8">
        <v>0.1170018281535649</v>
      </c>
      <c r="AG18" s="8">
        <v>0.8117001828153565</v>
      </c>
      <c r="AH18" s="8">
        <v>6.9469835466179158E-2</v>
      </c>
      <c r="AI18" s="8">
        <v>0.12324401321816203</v>
      </c>
      <c r="AJ18" s="8">
        <v>7.3064425116260975E-2</v>
      </c>
      <c r="AK18" s="8">
        <v>6.6176327515420394E-2</v>
      </c>
      <c r="AL18" s="8">
        <v>2.4653162882104566E-2</v>
      </c>
      <c r="AM18" s="8">
        <v>0.37176269141711904</v>
      </c>
      <c r="AN18" s="8">
        <v>9.0615453466425383E-2</v>
      </c>
      <c r="AO18" s="8">
        <v>0.11102679353219309</v>
      </c>
      <c r="AP18" s="8">
        <v>6.1253478100130369E-2</v>
      </c>
      <c r="AQ18" s="8">
        <v>5.576634950285058E-2</v>
      </c>
      <c r="AR18" s="8">
        <v>0.14562294475901388</v>
      </c>
      <c r="AS18" s="8">
        <v>0.10556544093313701</v>
      </c>
      <c r="AT18" s="8">
        <v>4.5887190204675042E-3</v>
      </c>
      <c r="AU18" s="8">
        <v>0.11637627495967834</v>
      </c>
      <c r="AV18" s="8">
        <v>4.6455100974534883E-2</v>
      </c>
      <c r="AW18" s="8">
        <v>8.6367869880284415E-2</v>
      </c>
      <c r="AX18" s="8">
        <v>0.12091956111855705</v>
      </c>
      <c r="AY18" s="8">
        <v>0.10983394289089299</v>
      </c>
      <c r="AZ18" s="8">
        <v>0.11844347016196816</v>
      </c>
      <c r="BA18" s="8">
        <v>0.11410463188023898</v>
      </c>
      <c r="BB18" s="8">
        <v>0.28281956339020015</v>
      </c>
      <c r="BC18" s="8">
        <v>0.37625718821492465</v>
      </c>
      <c r="BD18" s="8">
        <v>3.9834289356277884E-2</v>
      </c>
      <c r="BE18" s="8">
        <v>0.10076481835564054</v>
      </c>
      <c r="BF18" s="8">
        <v>6.978967495219885E-3</v>
      </c>
      <c r="BG18" s="8">
        <v>0.12667304015296368</v>
      </c>
      <c r="BH18" s="8">
        <v>9.3862332695984707E-2</v>
      </c>
      <c r="BI18" s="8">
        <v>0.12964308476736774</v>
      </c>
      <c r="BJ18" s="8">
        <v>0.14849585723390696</v>
      </c>
      <c r="BK18" s="8">
        <v>0.31899298916507329</v>
      </c>
      <c r="BL18" s="8">
        <v>3.4760994263862331E-2</v>
      </c>
      <c r="BM18" s="8">
        <v>0.13783147323034423</v>
      </c>
      <c r="BN18" s="8">
        <v>3.7163337740970144E-2</v>
      </c>
      <c r="BO18" s="8">
        <v>0.10901941680005567</v>
      </c>
      <c r="BP18" s="8">
        <v>3.8329041686964993E-2</v>
      </c>
      <c r="BQ18" s="8">
        <v>0.22320620780847658</v>
      </c>
      <c r="BR18" s="8">
        <v>5.4005149975642007E-2</v>
      </c>
      <c r="BS18" s="8">
        <v>0.15839654812443454</v>
      </c>
      <c r="BT18" s="8">
        <v>4.3165843134525712E-2</v>
      </c>
      <c r="BU18" s="8">
        <v>0.33669705616257223</v>
      </c>
      <c r="BV18" s="8">
        <v>2.9477076848552285E-2</v>
      </c>
      <c r="BW18" s="8">
        <v>2.4406117800195249E-4</v>
      </c>
      <c r="BX18" s="8">
        <v>6.5082980800520666E-3</v>
      </c>
      <c r="BY18" s="8">
        <v>1.3830133420110642E-3</v>
      </c>
      <c r="BZ18" s="8">
        <v>0.56614057923852912</v>
      </c>
      <c r="CA18" s="8">
        <v>0.42539863325740318</v>
      </c>
      <c r="CB18" s="8">
        <v>1.0000023980700334</v>
      </c>
    </row>
    <row r="19" spans="1:80" x14ac:dyDescent="0.2">
      <c r="A19" s="4" t="s">
        <v>167</v>
      </c>
      <c r="B19" s="3" t="s">
        <v>168</v>
      </c>
      <c r="C19" s="8">
        <v>4.7560943197001951E-2</v>
      </c>
      <c r="D19" s="8">
        <v>1.0770168664905507E-2</v>
      </c>
      <c r="E19" s="8">
        <v>5.2580776264986792E-2</v>
      </c>
      <c r="F19" s="8">
        <v>0.10333265596423491</v>
      </c>
      <c r="G19" s="8">
        <v>0.11328998171103434</v>
      </c>
      <c r="H19" s="8">
        <v>0.10851452956716115</v>
      </c>
      <c r="I19" s="8">
        <v>0.17100182889656573</v>
      </c>
      <c r="J19" s="8">
        <v>3.1040438935175777E-2</v>
      </c>
      <c r="K19" s="8">
        <v>0.13117252590936801</v>
      </c>
      <c r="L19" s="8">
        <v>7.3054257264783581E-2</v>
      </c>
      <c r="M19" s="8">
        <v>0.20498882340987604</v>
      </c>
      <c r="N19" s="8">
        <v>8.5002742413662295E-3</v>
      </c>
      <c r="O19" s="8">
        <v>0.83229107447413297</v>
      </c>
      <c r="P19" s="8">
        <v>0.1671404206935759</v>
      </c>
      <c r="Q19" s="8">
        <v>9.4981745431525436E-3</v>
      </c>
      <c r="R19" s="8">
        <v>5.0877639277537522E-4</v>
      </c>
      <c r="S19" s="8">
        <v>3.0526583566522512E-2</v>
      </c>
      <c r="T19" s="8">
        <v>3.3070465530399391E-2</v>
      </c>
      <c r="U19" s="8">
        <v>0.21394047316204529</v>
      </c>
      <c r="V19" s="8">
        <v>7.1228694988552527E-2</v>
      </c>
      <c r="W19" s="8">
        <v>3.0272195370134827E-2</v>
      </c>
      <c r="X19" s="8">
        <v>0.12159755787331468</v>
      </c>
      <c r="Y19" s="8">
        <v>0.25922157211905367</v>
      </c>
      <c r="Z19" s="8">
        <v>0.23963368099720173</v>
      </c>
      <c r="AA19" s="8">
        <v>0.14654637095312767</v>
      </c>
      <c r="AB19" s="8">
        <v>5.0452589404956227E-3</v>
      </c>
      <c r="AC19" s="8">
        <v>0.99020626205668494</v>
      </c>
      <c r="AD19" s="8">
        <v>4.830917874396135E-3</v>
      </c>
      <c r="AE19" s="8">
        <v>2.3872288091159278E-3</v>
      </c>
      <c r="AF19" s="8">
        <v>0.16295546558704455</v>
      </c>
      <c r="AG19" s="8">
        <v>0.75910931174089069</v>
      </c>
      <c r="AH19" s="8">
        <v>7.8947368421052627E-2</v>
      </c>
      <c r="AI19" s="8">
        <v>0.10348926834336469</v>
      </c>
      <c r="AJ19" s="8">
        <v>6.3505404963694514E-2</v>
      </c>
      <c r="AK19" s="8">
        <v>6.607363825266746E-2</v>
      </c>
      <c r="AL19" s="8">
        <v>2.6803016506735774E-2</v>
      </c>
      <c r="AM19" s="8">
        <v>0.39690878102309074</v>
      </c>
      <c r="AN19" s="8">
        <v>0.12066026943101958</v>
      </c>
      <c r="AO19" s="8">
        <v>8.3140715836660356E-2</v>
      </c>
      <c r="AP19" s="8">
        <v>6.3692185566528919E-2</v>
      </c>
      <c r="AQ19" s="8">
        <v>6.3108496182671434E-2</v>
      </c>
      <c r="AR19" s="8">
        <v>0.11610749223693119</v>
      </c>
      <c r="AS19" s="8">
        <v>9.8195322674566113E-2</v>
      </c>
      <c r="AT19" s="8">
        <v>4.3307086614173228E-3</v>
      </c>
      <c r="AU19" s="8">
        <v>0.12768208661417324</v>
      </c>
      <c r="AV19" s="8">
        <v>4.264271653543307E-2</v>
      </c>
      <c r="AW19" s="8">
        <v>9.4168307086614167E-2</v>
      </c>
      <c r="AX19" s="8">
        <v>0.10524114173228347</v>
      </c>
      <c r="AY19" s="8">
        <v>0.11331200787401575</v>
      </c>
      <c r="AZ19" s="8">
        <v>0.11678149606299212</v>
      </c>
      <c r="BA19" s="8">
        <v>0.10270669291338583</v>
      </c>
      <c r="BB19" s="8">
        <v>0.29323326771653541</v>
      </c>
      <c r="BC19" s="8">
        <v>0.41886442328369605</v>
      </c>
      <c r="BD19" s="8">
        <v>4.2502379510253527E-2</v>
      </c>
      <c r="BE19" s="8">
        <v>0.10568486631478757</v>
      </c>
      <c r="BF19" s="8">
        <v>6.7549248651610858E-3</v>
      </c>
      <c r="BG19" s="8">
        <v>0.12028496437945257</v>
      </c>
      <c r="BH19" s="8">
        <v>7.2285195119840787E-2</v>
      </c>
      <c r="BI19" s="8">
        <v>0.11654697009027717</v>
      </c>
      <c r="BJ19" s="8">
        <v>0.1383807793256612</v>
      </c>
      <c r="BK19" s="8">
        <v>0.36296616769057716</v>
      </c>
      <c r="BL19" s="8">
        <v>3.4582215684577887E-2</v>
      </c>
      <c r="BM19" s="8">
        <v>0.13457881600216492</v>
      </c>
      <c r="BN19" s="8">
        <v>3.5189773420948686E-2</v>
      </c>
      <c r="BO19" s="8">
        <v>9.5802362741929686E-2</v>
      </c>
      <c r="BP19" s="8">
        <v>4.0378469603935506E-2</v>
      </c>
      <c r="BQ19" s="8">
        <v>0.21840999676828612</v>
      </c>
      <c r="BR19" s="8">
        <v>5.1815145965743832E-2</v>
      </c>
      <c r="BS19" s="8">
        <v>0.17971919997127364</v>
      </c>
      <c r="BT19" s="8">
        <v>4.6698265646881398E-2</v>
      </c>
      <c r="BU19" s="8">
        <v>0.33204064777909442</v>
      </c>
      <c r="BV19" s="8">
        <v>3.0384010399425905E-2</v>
      </c>
      <c r="BW19" s="8">
        <v>4.7713717693836981E-4</v>
      </c>
      <c r="BX19" s="8">
        <v>5.2485089463220674E-3</v>
      </c>
      <c r="BY19" s="8">
        <v>1.5109343936381709E-3</v>
      </c>
      <c r="BZ19" s="8">
        <v>0.68111332007952285</v>
      </c>
      <c r="CA19" s="8">
        <v>0.31149105367793239</v>
      </c>
      <c r="CB19" s="8">
        <v>1.0000048324469819</v>
      </c>
    </row>
    <row r="20" spans="1:80" x14ac:dyDescent="0.2">
      <c r="A20" s="4" t="s">
        <v>247</v>
      </c>
      <c r="B20" s="3" t="s">
        <v>168</v>
      </c>
      <c r="C20" s="8">
        <v>5.1859502690329469E-2</v>
      </c>
      <c r="D20" s="8">
        <v>9.0162831382048173E-3</v>
      </c>
      <c r="E20" s="8">
        <v>5.6116269681065804E-2</v>
      </c>
      <c r="F20" s="8">
        <v>8.6798546628986673E-2</v>
      </c>
      <c r="G20" s="8">
        <v>0.10788139774817207</v>
      </c>
      <c r="H20" s="8">
        <v>0.11330911048311129</v>
      </c>
      <c r="I20" s="8">
        <v>0.17552594984972861</v>
      </c>
      <c r="J20" s="8">
        <v>3.0861705468084151E-2</v>
      </c>
      <c r="K20" s="8">
        <v>0.14578567263266495</v>
      </c>
      <c r="L20" s="8">
        <v>7.3879693177230518E-2</v>
      </c>
      <c r="M20" s="8">
        <v>0.2008253711927511</v>
      </c>
      <c r="N20" s="8">
        <v>7.7906730592523839E-3</v>
      </c>
      <c r="O20" s="8">
        <v>0.86772170797252912</v>
      </c>
      <c r="P20" s="8">
        <v>0.13168109883547327</v>
      </c>
      <c r="Q20" s="8">
        <v>9.5818997703973029E-3</v>
      </c>
      <c r="R20" s="8">
        <v>1.4566642388929353E-3</v>
      </c>
      <c r="S20" s="8">
        <v>3.6659383345472203E-2</v>
      </c>
      <c r="T20" s="8">
        <v>3.4231609613983978E-2</v>
      </c>
      <c r="U20" s="8">
        <v>0.22262685117747025</v>
      </c>
      <c r="V20" s="8">
        <v>6.7006554989075012E-2</v>
      </c>
      <c r="W20" s="8">
        <v>2.9376062151007527E-2</v>
      </c>
      <c r="X20" s="8">
        <v>8.7885409079873758E-2</v>
      </c>
      <c r="Y20" s="8">
        <v>0.27749453750910413</v>
      </c>
      <c r="Z20" s="8">
        <v>0.24423403738771546</v>
      </c>
      <c r="AA20" s="8">
        <v>0.13201340861138058</v>
      </c>
      <c r="AB20" s="8">
        <v>4.5815785300181502E-3</v>
      </c>
      <c r="AC20" s="8">
        <v>0.99002625596926819</v>
      </c>
      <c r="AD20" s="8">
        <v>5.3921655007136693E-3</v>
      </c>
      <c r="AE20" s="8">
        <v>2.9241194492326803E-3</v>
      </c>
      <c r="AF20" s="8">
        <v>0.162291169451074</v>
      </c>
      <c r="AG20" s="8">
        <v>0.77406523468575972</v>
      </c>
      <c r="AH20" s="8">
        <v>6.205250596658711E-2</v>
      </c>
      <c r="AI20" s="8">
        <v>0.10475652111204937</v>
      </c>
      <c r="AJ20" s="8">
        <v>6.0468111565109256E-2</v>
      </c>
      <c r="AK20" s="8">
        <v>5.9579854325812753E-2</v>
      </c>
      <c r="AL20" s="8">
        <v>2.8091135192751821E-2</v>
      </c>
      <c r="AM20" s="8">
        <v>0.37777580387280157</v>
      </c>
      <c r="AN20" s="8">
        <v>0.12364540771007283</v>
      </c>
      <c r="AO20" s="8">
        <v>0.10330431693018298</v>
      </c>
      <c r="AP20" s="8">
        <v>6.5664416414993779E-2</v>
      </c>
      <c r="AQ20" s="8">
        <v>6.3066263990051524E-2</v>
      </c>
      <c r="AR20" s="8">
        <v>0.11851572215313555</v>
      </c>
      <c r="AS20" s="8">
        <v>0.10145089363602738</v>
      </c>
      <c r="AT20" s="8">
        <v>3.462429203641283E-3</v>
      </c>
      <c r="AU20" s="8">
        <v>0.12733026071404002</v>
      </c>
      <c r="AV20" s="8">
        <v>4.0723670633555753E-2</v>
      </c>
      <c r="AW20" s="8">
        <v>9.6535277796886101E-2</v>
      </c>
      <c r="AX20" s="8">
        <v>0.10426268601958222</v>
      </c>
      <c r="AY20" s="8">
        <v>0.10229070647313751</v>
      </c>
      <c r="AZ20" s="8">
        <v>0.13647932860975442</v>
      </c>
      <c r="BA20" s="8">
        <v>9.8255027401343703E-2</v>
      </c>
      <c r="BB20" s="8">
        <v>0.29068354314278505</v>
      </c>
      <c r="BC20" s="8">
        <v>0.42032414224666353</v>
      </c>
      <c r="BD20" s="8">
        <v>4.3882757933652858E-2</v>
      </c>
      <c r="BE20" s="8">
        <v>8.479350918167429E-2</v>
      </c>
      <c r="BF20" s="8">
        <v>6.093443875009685E-3</v>
      </c>
      <c r="BG20" s="8">
        <v>0.13137155064587183</v>
      </c>
      <c r="BH20" s="8">
        <v>8.2474569142047524E-2</v>
      </c>
      <c r="BI20" s="8">
        <v>0.11148622472133979</v>
      </c>
      <c r="BJ20" s="8">
        <v>0.15682454645074881</v>
      </c>
      <c r="BK20" s="8">
        <v>0.34327507388508238</v>
      </c>
      <c r="BL20" s="8">
        <v>3.9820462016979731E-2</v>
      </c>
      <c r="BM20" s="8">
        <v>0.13797098212727946</v>
      </c>
      <c r="BN20" s="8">
        <v>3.3265891080762097E-2</v>
      </c>
      <c r="BO20" s="8">
        <v>0.10106221547799696</v>
      </c>
      <c r="BP20" s="8">
        <v>3.7363007924464675E-2</v>
      </c>
      <c r="BQ20" s="8">
        <v>0.21605125611195414</v>
      </c>
      <c r="BR20" s="8">
        <v>4.9704940145000841E-2</v>
      </c>
      <c r="BS20" s="8">
        <v>0.17346147361321868</v>
      </c>
      <c r="BT20" s="8">
        <v>4.5742707806440734E-2</v>
      </c>
      <c r="BU20" s="8">
        <v>0.34331478671387622</v>
      </c>
      <c r="BV20" s="8">
        <v>3.1334836102755934E-2</v>
      </c>
      <c r="BW20" s="8">
        <v>7.4239049740163328E-5</v>
      </c>
      <c r="BX20" s="8">
        <v>4.2316258351893093E-3</v>
      </c>
      <c r="BY20" s="8">
        <v>1.3363028953229399E-3</v>
      </c>
      <c r="BZ20" s="8">
        <v>0.73318485523385302</v>
      </c>
      <c r="CA20" s="8">
        <v>0.26080178173719376</v>
      </c>
      <c r="CB20" s="8">
        <v>1.000006978805368</v>
      </c>
    </row>
    <row r="21" spans="1:80" x14ac:dyDescent="0.2">
      <c r="A21" s="4" t="s">
        <v>248</v>
      </c>
      <c r="B21" s="3" t="s">
        <v>168</v>
      </c>
      <c r="C21" s="8">
        <v>5.3193336023920186E-2</v>
      </c>
      <c r="D21" s="8">
        <v>7.7503569243320414E-3</v>
      </c>
      <c r="E21" s="8">
        <v>5.1070772996124822E-2</v>
      </c>
      <c r="F21" s="8">
        <v>9.3616153375484401E-2</v>
      </c>
      <c r="G21" s="8">
        <v>0.10393636549051601</v>
      </c>
      <c r="H21" s="8">
        <v>0.10679176014684887</v>
      </c>
      <c r="I21" s="8">
        <v>0.16879461554150521</v>
      </c>
      <c r="J21" s="8">
        <v>2.9165816846828473E-2</v>
      </c>
      <c r="K21" s="8">
        <v>0.18396899857230267</v>
      </c>
      <c r="L21" s="8">
        <v>6.1921272690189683E-2</v>
      </c>
      <c r="M21" s="8">
        <v>0.19298388741586783</v>
      </c>
      <c r="N21" s="8">
        <v>7.329679342802463E-3</v>
      </c>
      <c r="O21" s="8">
        <v>0.86234458259325042</v>
      </c>
      <c r="P21" s="8">
        <v>0.13706335109532267</v>
      </c>
      <c r="Q21" s="8">
        <v>1.1467541541359094E-2</v>
      </c>
      <c r="R21" s="8">
        <v>1.3245033112582781E-3</v>
      </c>
      <c r="S21" s="8">
        <v>2.7436140018921477E-2</v>
      </c>
      <c r="T21" s="8">
        <v>2.686849574266793E-2</v>
      </c>
      <c r="U21" s="8">
        <v>0.18032166508987701</v>
      </c>
      <c r="V21" s="8">
        <v>5.1087984862819298E-2</v>
      </c>
      <c r="W21" s="8">
        <v>2.4030274361400188E-2</v>
      </c>
      <c r="X21" s="8">
        <v>9.1012298959318824E-2</v>
      </c>
      <c r="Y21" s="8">
        <v>0.40283822138126774</v>
      </c>
      <c r="Z21" s="8">
        <v>0.19489120151371808</v>
      </c>
      <c r="AA21" s="8">
        <v>0.11556070528092764</v>
      </c>
      <c r="AB21" s="8">
        <v>3.6989748019076946E-3</v>
      </c>
      <c r="AC21" s="8">
        <v>0.99031131473205902</v>
      </c>
      <c r="AD21" s="8">
        <v>5.9521574223590822E-3</v>
      </c>
      <c r="AE21" s="8">
        <v>2.7817196321707396E-3</v>
      </c>
      <c r="AF21" s="8">
        <v>0.10530421216848673</v>
      </c>
      <c r="AG21" s="8">
        <v>0.8205928237129485</v>
      </c>
      <c r="AH21" s="8">
        <v>7.3322932917316688E-2</v>
      </c>
      <c r="AI21" s="8">
        <v>0.10344655496391576</v>
      </c>
      <c r="AJ21" s="8">
        <v>5.8877818563188251E-2</v>
      </c>
      <c r="AK21" s="8">
        <v>6.0576822233875199E-2</v>
      </c>
      <c r="AL21" s="8">
        <v>2.5883586785527005E-2</v>
      </c>
      <c r="AM21" s="8">
        <v>0.3878342947037231</v>
      </c>
      <c r="AN21" s="8">
        <v>0.12253801782905087</v>
      </c>
      <c r="AO21" s="8">
        <v>0.10716308337703198</v>
      </c>
      <c r="AP21" s="8">
        <v>5.862611431567908E-2</v>
      </c>
      <c r="AQ21" s="8">
        <v>6.3009963293130578E-2</v>
      </c>
      <c r="AR21" s="8">
        <v>0.11544834819087572</v>
      </c>
      <c r="AS21" s="8">
        <v>9.9534354888405743E-2</v>
      </c>
      <c r="AT21" s="8">
        <v>3.2699686083013605E-3</v>
      </c>
      <c r="AU21" s="8">
        <v>0.12526159748866411</v>
      </c>
      <c r="AV21" s="8">
        <v>4.0961806766655041E-2</v>
      </c>
      <c r="AW21" s="8">
        <v>8.9749738402511339E-2</v>
      </c>
      <c r="AX21" s="8">
        <v>0.10309121032438089</v>
      </c>
      <c r="AY21" s="8">
        <v>0.10182682246250437</v>
      </c>
      <c r="AZ21" s="8">
        <v>0.11693407743285665</v>
      </c>
      <c r="BA21" s="8">
        <v>0.12170823160097663</v>
      </c>
      <c r="BB21" s="8">
        <v>0.29737094523892571</v>
      </c>
      <c r="BC21" s="8">
        <v>0.41434169585085467</v>
      </c>
      <c r="BD21" s="8">
        <v>4.6518569722868094E-2</v>
      </c>
      <c r="BE21" s="8">
        <v>7.6682586564444169E-2</v>
      </c>
      <c r="BF21" s="8">
        <v>5.540543371247827E-3</v>
      </c>
      <c r="BG21" s="8">
        <v>0.12378244202853013</v>
      </c>
      <c r="BH21" s="8">
        <v>0.10045769706110308</v>
      </c>
      <c r="BI21" s="8">
        <v>0.11378013783279918</v>
      </c>
      <c r="BJ21" s="8">
        <v>0.17178302855107982</v>
      </c>
      <c r="BK21" s="8">
        <v>0.31144871069775237</v>
      </c>
      <c r="BL21" s="8">
        <v>4.9990573744737005E-2</v>
      </c>
      <c r="BM21" s="8">
        <v>0.13675992587867189</v>
      </c>
      <c r="BN21" s="8">
        <v>3.1906454274290792E-2</v>
      </c>
      <c r="BO21" s="8">
        <v>0.10068540965919909</v>
      </c>
      <c r="BP21" s="8">
        <v>3.5301770641619601E-2</v>
      </c>
      <c r="BQ21" s="8">
        <v>0.20784413276638955</v>
      </c>
      <c r="BR21" s="8">
        <v>4.9501808719933996E-2</v>
      </c>
      <c r="BS21" s="8">
        <v>0.17181252776543759</v>
      </c>
      <c r="BT21" s="8">
        <v>4.4551627847940596E-2</v>
      </c>
      <c r="BU21" s="8">
        <v>0.35841213428952212</v>
      </c>
      <c r="BV21" s="8">
        <v>5.5595335737502874E-2</v>
      </c>
      <c r="BW21" s="8">
        <v>2.3417375692764031E-4</v>
      </c>
      <c r="BX21" s="8">
        <v>2.7710561236437437E-3</v>
      </c>
      <c r="BY21" s="8">
        <v>8.5863710873468118E-4</v>
      </c>
      <c r="BZ21" s="8">
        <v>0.80454297088439619</v>
      </c>
      <c r="CA21" s="8">
        <v>0.191398017328858</v>
      </c>
      <c r="CB21" s="8">
        <v>1.0000108491405311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54FB-7F5D-1041-9A9D-475B33D65FAE}">
  <dimension ref="A1:CB19"/>
  <sheetViews>
    <sheetView tabSelected="1" workbookViewId="0">
      <selection activeCell="CJ11" sqref="CJ11"/>
    </sheetView>
  </sheetViews>
  <sheetFormatPr baseColWidth="10" defaultRowHeight="15" x14ac:dyDescent="0.2"/>
  <sheetData>
    <row r="1" spans="1:80" x14ac:dyDescent="0.2">
      <c r="A1" t="s">
        <v>252</v>
      </c>
      <c r="B1" s="3" t="s">
        <v>253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" t="s">
        <v>12</v>
      </c>
      <c r="O1" s="2" t="s">
        <v>13</v>
      </c>
      <c r="P1" s="2" t="s">
        <v>14</v>
      </c>
      <c r="Q1" s="1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1" t="s">
        <v>25</v>
      </c>
      <c r="AB1" s="2" t="s">
        <v>26</v>
      </c>
      <c r="AC1" s="2" t="s">
        <v>27</v>
      </c>
      <c r="AD1" s="2" t="s">
        <v>28</v>
      </c>
      <c r="AE1" s="1" t="s">
        <v>29</v>
      </c>
      <c r="AF1" s="2" t="s">
        <v>30</v>
      </c>
      <c r="AG1" s="2" t="s">
        <v>31</v>
      </c>
      <c r="AH1" s="2" t="s">
        <v>32</v>
      </c>
      <c r="AI1" s="1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1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1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1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1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1" t="s">
        <v>78</v>
      </c>
    </row>
    <row r="2" spans="1:80" x14ac:dyDescent="0.2">
      <c r="A2" s="4" t="s">
        <v>161</v>
      </c>
      <c r="B2" t="s">
        <v>0</v>
      </c>
      <c r="C2" s="8">
        <v>1.1218540204162963</v>
      </c>
      <c r="D2" s="8">
        <v>0.86339381003201709</v>
      </c>
      <c r="E2" s="8">
        <v>1.0672799422799424</v>
      </c>
      <c r="F2" s="8">
        <v>1.0620471014492754</v>
      </c>
      <c r="G2" s="8">
        <v>1.0326323422770123</v>
      </c>
      <c r="H2" s="8">
        <v>1.2316622691292876</v>
      </c>
      <c r="I2" s="8">
        <v>1.2277871418251867</v>
      </c>
      <c r="J2" s="8">
        <v>1.0344827586206897</v>
      </c>
      <c r="K2" s="8">
        <v>1.0165289256198347</v>
      </c>
      <c r="L2" s="8">
        <v>1.0477001703577513</v>
      </c>
      <c r="M2" s="8">
        <v>1.215092816787732</v>
      </c>
      <c r="N2" s="8">
        <v>1.1313923105636432</v>
      </c>
      <c r="O2" s="8">
        <v>1.1348659003831418</v>
      </c>
      <c r="P2" s="8">
        <v>0.98529411764705888</v>
      </c>
      <c r="Q2" s="8">
        <v>1.189569605721051</v>
      </c>
      <c r="R2" s="8">
        <v>0.97702539298669888</v>
      </c>
      <c r="S2" s="8">
        <v>1.3469964664310954</v>
      </c>
      <c r="T2" s="8">
        <v>0</v>
      </c>
      <c r="U2" s="8">
        <v>1.1164499717354437</v>
      </c>
      <c r="V2" s="8">
        <v>1.1446280991735538</v>
      </c>
      <c r="W2" s="8">
        <v>1.2393053790766624</v>
      </c>
      <c r="X2" s="8">
        <v>2.3684210526315788</v>
      </c>
      <c r="Y2" s="8">
        <v>1.1780961711160094</v>
      </c>
      <c r="Z2" s="8">
        <v>1.0420168067226891</v>
      </c>
      <c r="AA2" s="8">
        <v>1.346326548698709</v>
      </c>
      <c r="AB2" s="8">
        <v>1.3515246138196957</v>
      </c>
      <c r="AC2" s="8">
        <v>1.1030809098761878</v>
      </c>
      <c r="AD2" s="8">
        <v>1.4261363636363635</v>
      </c>
      <c r="AE2" s="8">
        <v>1.0074074074074073</v>
      </c>
      <c r="AF2" s="8">
        <v>0.92417061611374407</v>
      </c>
      <c r="AG2" s="8">
        <v>1.1105990783410138</v>
      </c>
      <c r="AH2" s="8">
        <v>1.3243243243243243</v>
      </c>
      <c r="AI2" s="8">
        <v>1.032986733596271</v>
      </c>
      <c r="AJ2" s="8">
        <v>0.87665198237885467</v>
      </c>
      <c r="AK2" s="8">
        <v>1.0684931506849316</v>
      </c>
      <c r="AL2" s="8">
        <v>1.1322314049586777</v>
      </c>
      <c r="AM2" s="8">
        <v>0.99770510613884111</v>
      </c>
      <c r="AN2" s="8">
        <v>1.1979695431472082</v>
      </c>
      <c r="AO2" s="8">
        <v>0.71815718157181574</v>
      </c>
      <c r="AP2" s="8">
        <v>1.0761904761904761</v>
      </c>
      <c r="AQ2" s="8">
        <v>1.0598086124401913</v>
      </c>
      <c r="AR2" s="8">
        <v>1.0065727699530516</v>
      </c>
      <c r="AS2" s="8">
        <v>1.1001790243174698</v>
      </c>
      <c r="AT2" s="8">
        <v>0.90217391304347827</v>
      </c>
      <c r="AU2" s="8">
        <v>1.1951219512195121</v>
      </c>
      <c r="AV2" s="8">
        <v>1.0360360360360361</v>
      </c>
      <c r="AW2" s="8">
        <v>1.0294715447154472</v>
      </c>
      <c r="AX2" s="8">
        <v>1.0223880597014925</v>
      </c>
      <c r="AY2" s="8">
        <v>0.85094339622641513</v>
      </c>
      <c r="AZ2" s="8">
        <v>1.5232558139534884</v>
      </c>
      <c r="BA2" s="8">
        <v>1.1261026916987107</v>
      </c>
      <c r="BB2" s="8">
        <v>1.0063233965672991</v>
      </c>
      <c r="BC2" s="8">
        <v>0.95132254500552416</v>
      </c>
      <c r="BD2" s="8">
        <v>0.8509174311926605</v>
      </c>
      <c r="BE2" s="8">
        <v>1.0074786324786325</v>
      </c>
      <c r="BF2" s="8">
        <v>1.1677018633540373</v>
      </c>
      <c r="BG2" s="8">
        <v>0.96562362274129576</v>
      </c>
      <c r="BH2" s="8">
        <v>0.79507133592736701</v>
      </c>
      <c r="BI2" s="8">
        <v>1.1484018264840183</v>
      </c>
      <c r="BJ2" s="8">
        <v>1.0922531046717918</v>
      </c>
      <c r="BK2" s="8">
        <v>0.7700680272108843</v>
      </c>
      <c r="BL2" s="8">
        <v>0.99694323144104802</v>
      </c>
      <c r="BM2" s="8">
        <v>1.0455931686489783</v>
      </c>
      <c r="BN2" s="8">
        <v>1.0588235294117647</v>
      </c>
      <c r="BO2" s="8">
        <v>1.0601503759398496</v>
      </c>
      <c r="BP2" s="8">
        <v>1.09375</v>
      </c>
      <c r="BQ2" s="8">
        <v>1</v>
      </c>
      <c r="BR2" s="8">
        <v>1.25</v>
      </c>
      <c r="BS2" s="8">
        <v>1.0343601895734598</v>
      </c>
      <c r="BT2" s="8">
        <v>1.0440097799511003</v>
      </c>
      <c r="BU2" s="8">
        <v>1.054157931516422</v>
      </c>
      <c r="BV2" s="8">
        <v>0.92973189567244641</v>
      </c>
      <c r="BW2" s="8">
        <v>0.94305822136916184</v>
      </c>
      <c r="BX2" s="8">
        <v>0.68452982810920127</v>
      </c>
      <c r="BY2" s="8">
        <v>1</v>
      </c>
      <c r="BZ2" s="8">
        <v>0.9344010181895317</v>
      </c>
      <c r="CA2" s="8">
        <v>0.95134866788019201</v>
      </c>
      <c r="CB2" s="8">
        <v>1.1658419384916567</v>
      </c>
    </row>
    <row r="3" spans="1:80" x14ac:dyDescent="0.2">
      <c r="A3" s="4" t="s">
        <v>162</v>
      </c>
      <c r="B3" t="s">
        <v>0</v>
      </c>
      <c r="C3" s="8">
        <v>0.96379385725215871</v>
      </c>
      <c r="D3" s="8">
        <v>1.1279357231149567</v>
      </c>
      <c r="E3" s="8">
        <v>1.1496535406455974</v>
      </c>
      <c r="F3" s="8">
        <v>1.0579957356076759</v>
      </c>
      <c r="G3" s="8">
        <v>1.0316011235955056</v>
      </c>
      <c r="H3" s="8">
        <v>0.78470437017994854</v>
      </c>
      <c r="I3" s="8">
        <v>0.69954893116297312</v>
      </c>
      <c r="J3" s="8">
        <v>0.90909090909090906</v>
      </c>
      <c r="K3" s="8">
        <v>1.065040650406504</v>
      </c>
      <c r="L3" s="8">
        <v>1.1048780487804879</v>
      </c>
      <c r="M3" s="8">
        <v>0.9784124875456659</v>
      </c>
      <c r="N3" s="8">
        <v>1.1141537446387331</v>
      </c>
      <c r="O3" s="8">
        <v>1.1201890614449697</v>
      </c>
      <c r="P3" s="8">
        <v>0.88059701492537312</v>
      </c>
      <c r="Q3" s="8">
        <v>1.074452363958059</v>
      </c>
      <c r="R3" s="8">
        <v>0.90470297029702973</v>
      </c>
      <c r="S3" s="8">
        <v>0.73347324239244494</v>
      </c>
      <c r="T3" s="8"/>
      <c r="U3" s="8">
        <v>1.1230379746835444</v>
      </c>
      <c r="V3" s="8">
        <v>0.8592057761732852</v>
      </c>
      <c r="W3" s="8">
        <v>1.1062884483937117</v>
      </c>
      <c r="X3" s="8">
        <v>1.3396825396825396</v>
      </c>
      <c r="Y3" s="8">
        <v>1.0754074125405679</v>
      </c>
      <c r="Z3" s="8">
        <v>1.1774193548387097</v>
      </c>
      <c r="AA3" s="8">
        <v>1.3414189952714786</v>
      </c>
      <c r="AB3" s="8">
        <v>1.1700418322160573</v>
      </c>
      <c r="AC3" s="8">
        <v>1.4605847037327069</v>
      </c>
      <c r="AD3" s="8">
        <v>1.6782014797951053</v>
      </c>
      <c r="AE3" s="8">
        <v>0.97499999999999998</v>
      </c>
      <c r="AF3" s="8">
        <v>0.94358974358974357</v>
      </c>
      <c r="AG3" s="8">
        <v>0.99585062240663902</v>
      </c>
      <c r="AH3" s="8">
        <v>1.1224489795918366</v>
      </c>
      <c r="AI3" s="8">
        <v>1.2160129584634964</v>
      </c>
      <c r="AJ3" s="8">
        <v>1.0100502512562815</v>
      </c>
      <c r="AK3" s="8">
        <v>1.3347578347578348</v>
      </c>
      <c r="AL3" s="8">
        <v>1.0729927007299269</v>
      </c>
      <c r="AM3" s="8">
        <v>1.3657274295572168</v>
      </c>
      <c r="AN3" s="8">
        <v>1.1406779661016948</v>
      </c>
      <c r="AO3" s="8">
        <v>1.2075471698113207</v>
      </c>
      <c r="AP3" s="8">
        <v>0.87905604719764008</v>
      </c>
      <c r="AQ3" s="8">
        <v>1</v>
      </c>
      <c r="AR3" s="8">
        <v>1.1054104477611941</v>
      </c>
      <c r="AS3" s="8">
        <v>1.1547223540579021</v>
      </c>
      <c r="AT3" s="8">
        <v>1</v>
      </c>
      <c r="AU3" s="8">
        <v>1.0442176870748299</v>
      </c>
      <c r="AV3" s="8">
        <v>0.84347826086956523</v>
      </c>
      <c r="AW3" s="8">
        <v>1.1303060217176704</v>
      </c>
      <c r="AX3" s="8">
        <v>0.9963503649635036</v>
      </c>
      <c r="AY3" s="8">
        <v>1.0277161862527717</v>
      </c>
      <c r="AZ3" s="8">
        <v>1.1221374045801527</v>
      </c>
      <c r="BA3" s="8">
        <v>1.1874058451340765</v>
      </c>
      <c r="BB3" s="8">
        <v>1.1355475763016158</v>
      </c>
      <c r="BC3" s="8">
        <v>1.0487771553490914</v>
      </c>
      <c r="BD3" s="8">
        <v>1.2654986522911051</v>
      </c>
      <c r="BE3" s="8">
        <v>0.97189819724284199</v>
      </c>
      <c r="BF3" s="8">
        <v>1.4627659574468086</v>
      </c>
      <c r="BG3" s="8">
        <v>1.0479233226837061</v>
      </c>
      <c r="BH3" s="8">
        <v>1.0473083197389885</v>
      </c>
      <c r="BI3" s="8">
        <v>0.99801192842942343</v>
      </c>
      <c r="BJ3" s="8">
        <v>1.1250676773145643</v>
      </c>
      <c r="BK3" s="8">
        <v>0.74779151943462896</v>
      </c>
      <c r="BL3" s="8">
        <v>1.2899693385895752</v>
      </c>
      <c r="BM3" s="8">
        <v>1.0628554761557532</v>
      </c>
      <c r="BN3" s="8">
        <v>1.125</v>
      </c>
      <c r="BO3" s="8">
        <v>1.0780141843971631</v>
      </c>
      <c r="BP3" s="8">
        <v>1.1428571428571428</v>
      </c>
      <c r="BQ3" s="8">
        <v>1.024390243902439</v>
      </c>
      <c r="BR3" s="8">
        <v>1.0782608695652174</v>
      </c>
      <c r="BS3" s="8">
        <v>1.0557464681176021</v>
      </c>
      <c r="BT3" s="8">
        <v>1.0304449648711944</v>
      </c>
      <c r="BU3" s="8">
        <v>1.0709313887968179</v>
      </c>
      <c r="BV3" s="8">
        <v>1.0177095169063197</v>
      </c>
      <c r="BW3" s="8">
        <v>0.93012211668928091</v>
      </c>
      <c r="BX3" s="8">
        <v>1.2023633677991137</v>
      </c>
      <c r="BY3" s="8">
        <v>0</v>
      </c>
      <c r="BZ3" s="8">
        <v>1.086038592508513</v>
      </c>
      <c r="CA3" s="8">
        <v>0.8090102626543747</v>
      </c>
      <c r="CB3" s="8">
        <v>1.1436313193997358</v>
      </c>
    </row>
    <row r="4" spans="1:80" x14ac:dyDescent="0.2">
      <c r="A4" s="4" t="s">
        <v>163</v>
      </c>
      <c r="B4" t="s">
        <v>0</v>
      </c>
      <c r="C4" s="8">
        <v>1.0674208273085537</v>
      </c>
      <c r="D4" s="8">
        <v>1.1649315068493151</v>
      </c>
      <c r="E4" s="8">
        <v>1.2099963248805585</v>
      </c>
      <c r="F4" s="8">
        <v>1.0028214429665459</v>
      </c>
      <c r="G4" s="8">
        <v>1.0408441116405718</v>
      </c>
      <c r="H4" s="8">
        <v>0.80412230412230412</v>
      </c>
      <c r="I4" s="8">
        <v>1.1527894589290721</v>
      </c>
      <c r="J4" s="8">
        <v>0.89333333333333331</v>
      </c>
      <c r="K4" s="8">
        <v>1.0814249363867685</v>
      </c>
      <c r="L4" s="8">
        <v>1.011037527593819</v>
      </c>
      <c r="M4" s="8">
        <v>1.0105227427019687</v>
      </c>
      <c r="N4" s="8">
        <v>1.0607047675451584</v>
      </c>
      <c r="O4" s="8">
        <v>1.0617842073538275</v>
      </c>
      <c r="P4" s="8">
        <v>1</v>
      </c>
      <c r="Q4" s="8">
        <v>1.2763498909982316</v>
      </c>
      <c r="R4" s="8">
        <v>0.79206566347469221</v>
      </c>
      <c r="S4" s="8">
        <v>0.75178826895565098</v>
      </c>
      <c r="T4" s="8">
        <v>1.3333333333333333</v>
      </c>
      <c r="U4" s="8">
        <v>1.0031559963931469</v>
      </c>
      <c r="V4" s="8">
        <v>0.76890756302521013</v>
      </c>
      <c r="W4" s="8">
        <v>0.74822366388631445</v>
      </c>
      <c r="X4" s="8">
        <v>0.81374407582938391</v>
      </c>
      <c r="Y4" s="8">
        <v>1.3447353724546782</v>
      </c>
      <c r="Z4" s="8">
        <v>1</v>
      </c>
      <c r="AA4" s="8">
        <v>1.0328701469710229</v>
      </c>
      <c r="AB4" s="8">
        <v>0.95651328386787937</v>
      </c>
      <c r="AC4" s="8">
        <v>1.0923063175766241</v>
      </c>
      <c r="AD4" s="8">
        <v>1.1332835922132538</v>
      </c>
      <c r="AE4" s="8">
        <v>0.97586726998491702</v>
      </c>
      <c r="AF4" s="8">
        <v>0.97554347826086951</v>
      </c>
      <c r="AG4" s="8">
        <v>1.0125</v>
      </c>
      <c r="AH4" s="8">
        <v>0.8545454545454545</v>
      </c>
      <c r="AI4" s="8">
        <v>1.139010466222645</v>
      </c>
      <c r="AJ4" s="8">
        <v>1.0547263681592041</v>
      </c>
      <c r="AK4" s="8">
        <v>0.80469583778014941</v>
      </c>
      <c r="AL4" s="8">
        <v>0.97959183673469385</v>
      </c>
      <c r="AM4" s="8">
        <v>1.315578947368421</v>
      </c>
      <c r="AN4" s="8">
        <v>1.138187221396731</v>
      </c>
      <c r="AO4" s="8">
        <v>0.81874999999999998</v>
      </c>
      <c r="AP4" s="8">
        <v>1.1006711409395973</v>
      </c>
      <c r="AQ4" s="8">
        <v>0.89616252821670428</v>
      </c>
      <c r="AR4" s="8">
        <v>1.0337552742616034</v>
      </c>
      <c r="AS4" s="8">
        <v>1.0314720216076567</v>
      </c>
      <c r="AT4" s="8">
        <v>0.8493975903614458</v>
      </c>
      <c r="AU4" s="8">
        <v>1.0586319218241043</v>
      </c>
      <c r="AV4" s="8">
        <v>1.1134020618556701</v>
      </c>
      <c r="AW4" s="8">
        <v>0.95545851528384285</v>
      </c>
      <c r="AX4" s="8">
        <v>1.1172161172161172</v>
      </c>
      <c r="AY4" s="8">
        <v>1.0841423948220066</v>
      </c>
      <c r="AZ4" s="8">
        <v>1.1827016520894071</v>
      </c>
      <c r="BA4" s="8">
        <v>1.0148862386873043</v>
      </c>
      <c r="BB4" s="8">
        <v>1.0845849802371541</v>
      </c>
      <c r="BC4" s="8">
        <v>1.1068264721208962</v>
      </c>
      <c r="BD4" s="8">
        <v>1.1331203407880723</v>
      </c>
      <c r="BE4" s="8">
        <v>1.0698308783415167</v>
      </c>
      <c r="BF4" s="8">
        <v>0.69818181818181824</v>
      </c>
      <c r="BG4" s="8">
        <v>1.0696864111498259</v>
      </c>
      <c r="BH4" s="8">
        <v>1.0981308411214954</v>
      </c>
      <c r="BI4" s="8">
        <v>1.3232071713147411</v>
      </c>
      <c r="BJ4" s="8">
        <v>1.0255052935514919</v>
      </c>
      <c r="BK4" s="8">
        <v>1.1334908446544596</v>
      </c>
      <c r="BL4" s="8">
        <v>1.0893039049235993</v>
      </c>
      <c r="BM4" s="8">
        <v>1.1262349066959385</v>
      </c>
      <c r="BN4" s="8">
        <v>0.96913580246913578</v>
      </c>
      <c r="BO4" s="8">
        <v>1.1973684210526316</v>
      </c>
      <c r="BP4" s="8">
        <v>1.175</v>
      </c>
      <c r="BQ4" s="8">
        <v>1.1220238095238095</v>
      </c>
      <c r="BR4" s="8">
        <v>0.9838709677419355</v>
      </c>
      <c r="BS4" s="8">
        <v>1.4126582278481012</v>
      </c>
      <c r="BT4" s="8">
        <v>1.0590909090909091</v>
      </c>
      <c r="BU4" s="8">
        <v>0.89786443825441042</v>
      </c>
      <c r="BV4" s="8">
        <v>1.1804042348411934</v>
      </c>
      <c r="BW4" s="8">
        <v>0.90371991247264771</v>
      </c>
      <c r="BX4" s="8">
        <v>1.0577395577395576</v>
      </c>
      <c r="BY4" s="8"/>
      <c r="BZ4" s="8">
        <v>1.2213628762541806</v>
      </c>
      <c r="CA4" s="8">
        <v>1.1154590410664373</v>
      </c>
      <c r="CB4" s="8">
        <v>1.131642557636783</v>
      </c>
    </row>
    <row r="5" spans="1:80" x14ac:dyDescent="0.2">
      <c r="A5" s="4" t="s">
        <v>164</v>
      </c>
      <c r="B5" t="s">
        <v>0</v>
      </c>
      <c r="C5" s="8">
        <v>0.94631995537730085</v>
      </c>
      <c r="D5" s="8">
        <v>0.91674506114769516</v>
      </c>
      <c r="E5" s="8">
        <v>0.89326934758838539</v>
      </c>
      <c r="F5" s="8">
        <v>1.022508038585209</v>
      </c>
      <c r="G5" s="8">
        <v>0.80379332897318512</v>
      </c>
      <c r="H5" s="8">
        <v>1.0931930062807673</v>
      </c>
      <c r="I5" s="8">
        <v>1.003647859922179</v>
      </c>
      <c r="J5" s="8">
        <v>1.0559701492537314</v>
      </c>
      <c r="K5" s="8">
        <v>1.0517647058823529</v>
      </c>
      <c r="L5" s="8">
        <v>0.95342066957787486</v>
      </c>
      <c r="M5" s="8">
        <v>0.87033926771918035</v>
      </c>
      <c r="N5" s="8">
        <v>0.91652707984366277</v>
      </c>
      <c r="O5" s="8">
        <v>0.92137382912290666</v>
      </c>
      <c r="P5" s="8">
        <v>0.6271186440677966</v>
      </c>
      <c r="Q5" s="8">
        <v>1.1140123886669355</v>
      </c>
      <c r="R5" s="8">
        <v>0.71502590673575128</v>
      </c>
      <c r="S5" s="8">
        <v>1.1255946717411989</v>
      </c>
      <c r="T5" s="8">
        <v>0.5</v>
      </c>
      <c r="U5" s="8">
        <v>0.75011235955056177</v>
      </c>
      <c r="V5" s="8">
        <v>0.93989071038251371</v>
      </c>
      <c r="W5" s="8">
        <v>0.56544178364987618</v>
      </c>
      <c r="X5" s="8">
        <v>0.67734420500873616</v>
      </c>
      <c r="Y5" s="8">
        <v>1.1506017841882901</v>
      </c>
      <c r="Z5" s="8">
        <v>0.94349315068493156</v>
      </c>
      <c r="AA5" s="8">
        <v>0.70332098061573545</v>
      </c>
      <c r="AB5" s="8">
        <v>0.67823462254265654</v>
      </c>
      <c r="AC5" s="8">
        <v>0.63440772251308897</v>
      </c>
      <c r="AD5" s="8">
        <v>0.75211475540659167</v>
      </c>
      <c r="AE5" s="8">
        <v>1.1761978361669243</v>
      </c>
      <c r="AF5" s="8">
        <v>1.2367688022284122</v>
      </c>
      <c r="AG5" s="8">
        <v>1.1604938271604939</v>
      </c>
      <c r="AH5" s="8">
        <v>0.7021276595744681</v>
      </c>
      <c r="AI5" s="8">
        <v>0.92657255032996411</v>
      </c>
      <c r="AJ5" s="8">
        <v>1.070754716981132</v>
      </c>
      <c r="AK5" s="8">
        <v>0.85013262599469497</v>
      </c>
      <c r="AL5" s="8">
        <v>0.88690476190476186</v>
      </c>
      <c r="AM5" s="8">
        <v>0.88766202592414789</v>
      </c>
      <c r="AN5" s="8">
        <v>1.0378590078328982</v>
      </c>
      <c r="AO5" s="8">
        <v>1.2595419847328244</v>
      </c>
      <c r="AP5" s="8">
        <v>0.70731707317073167</v>
      </c>
      <c r="AQ5" s="8">
        <v>0.78337531486146095</v>
      </c>
      <c r="AR5" s="8">
        <v>1.0816326530612246</v>
      </c>
      <c r="AS5" s="8">
        <v>0.837251665053794</v>
      </c>
      <c r="AT5" s="8">
        <v>0.79432624113475181</v>
      </c>
      <c r="AU5" s="8">
        <v>0.8</v>
      </c>
      <c r="AV5" s="8">
        <v>0.95370370370370372</v>
      </c>
      <c r="AW5" s="8">
        <v>0.8537477148080439</v>
      </c>
      <c r="AX5" s="8">
        <v>0.90491803278688521</v>
      </c>
      <c r="AY5" s="8">
        <v>0.73233830845771142</v>
      </c>
      <c r="AZ5" s="8">
        <v>0.7559572719802794</v>
      </c>
      <c r="BA5" s="8">
        <v>0.85132094341195097</v>
      </c>
      <c r="BB5" s="8">
        <v>0.84110787172011658</v>
      </c>
      <c r="BC5" s="8">
        <v>0.86381826741996237</v>
      </c>
      <c r="BD5" s="8">
        <v>1.0037593984962405</v>
      </c>
      <c r="BE5" s="8">
        <v>0.90209077001529836</v>
      </c>
      <c r="BF5" s="8">
        <v>0.71875</v>
      </c>
      <c r="BG5" s="8">
        <v>0.88110749185667747</v>
      </c>
      <c r="BH5" s="8">
        <v>0.92198581560283688</v>
      </c>
      <c r="BI5" s="8">
        <v>0.84719608581106509</v>
      </c>
      <c r="BJ5" s="8">
        <v>0.94134209291412485</v>
      </c>
      <c r="BK5" s="8">
        <v>0.83272537780093803</v>
      </c>
      <c r="BL5" s="8">
        <v>0.74407730673316708</v>
      </c>
      <c r="BM5" s="8">
        <v>0.89863547758284601</v>
      </c>
      <c r="BN5" s="8">
        <v>1.0254777070063694</v>
      </c>
      <c r="BO5" s="8">
        <v>0.74725274725274726</v>
      </c>
      <c r="BP5" s="8">
        <v>1.1914893617021276</v>
      </c>
      <c r="BQ5" s="8">
        <v>1.0265251989389921</v>
      </c>
      <c r="BR5" s="8">
        <v>1.0573770491803278</v>
      </c>
      <c r="BS5" s="8">
        <v>0.90271377368151562</v>
      </c>
      <c r="BT5" s="8">
        <v>0.92703862660944203</v>
      </c>
      <c r="BU5" s="8">
        <v>0.85970355049982761</v>
      </c>
      <c r="BV5" s="8">
        <v>1.122207364404292</v>
      </c>
      <c r="BW5" s="8">
        <v>0.85794995964487486</v>
      </c>
      <c r="BX5" s="8">
        <v>1.5133565621370499</v>
      </c>
      <c r="BY5" s="8"/>
      <c r="BZ5" s="8">
        <v>1.0907068286838952</v>
      </c>
      <c r="CA5" s="8">
        <v>1.26272166538165</v>
      </c>
      <c r="CB5" s="8">
        <v>0.93011710826937721</v>
      </c>
    </row>
    <row r="6" spans="1:80" x14ac:dyDescent="0.2">
      <c r="A6" s="4" t="s">
        <v>165</v>
      </c>
      <c r="B6" t="s">
        <v>0</v>
      </c>
      <c r="C6" s="8">
        <v>1.2220725272257775</v>
      </c>
      <c r="D6" s="8">
        <v>0.84453565931246788</v>
      </c>
      <c r="E6" s="8">
        <v>1.0065283917035022</v>
      </c>
      <c r="F6" s="8">
        <v>1.1584119496855345</v>
      </c>
      <c r="G6" s="8">
        <v>0.98209926769731493</v>
      </c>
      <c r="H6" s="8">
        <v>2.1902173913043477</v>
      </c>
      <c r="I6" s="8">
        <v>1.0932881027380663</v>
      </c>
      <c r="J6" s="8">
        <v>1.1236749116607774</v>
      </c>
      <c r="K6" s="8">
        <v>1.0648769574944073</v>
      </c>
      <c r="L6" s="8">
        <v>1.0870229007633587</v>
      </c>
      <c r="M6" s="8">
        <v>0.81242763411810115</v>
      </c>
      <c r="N6" s="8">
        <v>0.76850441669204994</v>
      </c>
      <c r="O6" s="8">
        <v>0.77110289587184222</v>
      </c>
      <c r="P6" s="8">
        <v>0.56756756756756754</v>
      </c>
      <c r="Q6" s="8">
        <v>1.3040837544746262</v>
      </c>
      <c r="R6" s="8">
        <v>1.2173913043478262</v>
      </c>
      <c r="S6" s="8">
        <v>2.676246830092984</v>
      </c>
      <c r="T6" s="8">
        <v>1.1000000000000001</v>
      </c>
      <c r="U6" s="8">
        <v>0.80167765128819657</v>
      </c>
      <c r="V6" s="8">
        <v>1.5465116279069768</v>
      </c>
      <c r="W6" s="8">
        <v>1.8550565899963489</v>
      </c>
      <c r="X6" s="8">
        <v>1.6749785038693035</v>
      </c>
      <c r="Y6" s="8">
        <v>1.2859135963572756</v>
      </c>
      <c r="Z6" s="8">
        <v>1.1125226860254083</v>
      </c>
      <c r="AA6" s="8">
        <v>1.4230305896128168</v>
      </c>
      <c r="AB6" s="8">
        <v>1.4643392441257177</v>
      </c>
      <c r="AC6" s="8">
        <v>1.5106382978723405</v>
      </c>
      <c r="AD6" s="8">
        <v>1.3575691662908831</v>
      </c>
      <c r="AE6" s="8">
        <v>1.4257555847568988</v>
      </c>
      <c r="AF6" s="8">
        <v>1.5067567567567568</v>
      </c>
      <c r="AG6" s="8">
        <v>1.2765957446808511</v>
      </c>
      <c r="AH6" s="8">
        <v>1.6363636363636365</v>
      </c>
      <c r="AI6" s="8">
        <v>0.9062387306166606</v>
      </c>
      <c r="AJ6" s="8">
        <v>1.052863436123348</v>
      </c>
      <c r="AK6" s="8">
        <v>1.2605304212168487</v>
      </c>
      <c r="AL6" s="8">
        <v>1.1588366890380313</v>
      </c>
      <c r="AM6" s="8">
        <v>0.65440778799350996</v>
      </c>
      <c r="AN6" s="8">
        <v>1.0459119496855347</v>
      </c>
      <c r="AO6" s="8">
        <v>1.4848484848484849</v>
      </c>
      <c r="AP6" s="8">
        <v>1.5862068965517242</v>
      </c>
      <c r="AQ6" s="8">
        <v>1.1093247588424437</v>
      </c>
      <c r="AR6" s="8">
        <v>1.1124528301886794</v>
      </c>
      <c r="AS6" s="8">
        <v>1.1356404677726408</v>
      </c>
      <c r="AT6" s="8">
        <v>1.4285714285714286</v>
      </c>
      <c r="AU6" s="8">
        <v>0.9884615384615385</v>
      </c>
      <c r="AV6" s="8">
        <v>0.93203883495145634</v>
      </c>
      <c r="AW6" s="8">
        <v>1.0149892933618843</v>
      </c>
      <c r="AX6" s="8">
        <v>1.2065217391304348</v>
      </c>
      <c r="AY6" s="8">
        <v>0.77445652173913049</v>
      </c>
      <c r="AZ6" s="8">
        <v>0.8619565217391304</v>
      </c>
      <c r="BA6" s="8">
        <v>1.2068526676456193</v>
      </c>
      <c r="BB6" s="8">
        <v>1.0571923743500866</v>
      </c>
      <c r="BC6" s="8">
        <v>1.003406458645592</v>
      </c>
      <c r="BD6" s="8">
        <v>0.81647940074906367</v>
      </c>
      <c r="BE6" s="8">
        <v>0.94855850763143024</v>
      </c>
      <c r="BF6" s="8">
        <v>1.2681159420289856</v>
      </c>
      <c r="BG6" s="8">
        <v>1.0304990757855823</v>
      </c>
      <c r="BH6" s="8">
        <v>1.0584615384615386</v>
      </c>
      <c r="BI6" s="8">
        <v>1.0355397601066192</v>
      </c>
      <c r="BJ6" s="8">
        <v>1.1101694915254237</v>
      </c>
      <c r="BK6" s="8">
        <v>1.1595744680851063</v>
      </c>
      <c r="BL6" s="8">
        <v>0.83284457478005869</v>
      </c>
      <c r="BM6" s="8">
        <v>1.0894793926247288</v>
      </c>
      <c r="BN6" s="8">
        <v>1.2608695652173914</v>
      </c>
      <c r="BO6" s="8">
        <v>1.0661764705882353</v>
      </c>
      <c r="BP6" s="8">
        <v>1.0357142857142858</v>
      </c>
      <c r="BQ6" s="8">
        <v>1.2403100775193798</v>
      </c>
      <c r="BR6" s="8">
        <v>0.92248062015503873</v>
      </c>
      <c r="BS6" s="8">
        <v>1.0989790130459445</v>
      </c>
      <c r="BT6" s="8">
        <v>1.0486111111111112</v>
      </c>
      <c r="BU6" s="8">
        <v>1.0609462710505213</v>
      </c>
      <c r="BV6" s="8">
        <v>1.0733840967216925</v>
      </c>
      <c r="BW6" s="8">
        <v>1.6829727187206021</v>
      </c>
      <c r="BX6" s="8">
        <v>1.9769762087490406</v>
      </c>
      <c r="BY6" s="8">
        <v>1</v>
      </c>
      <c r="BZ6" s="8">
        <v>0.91326690726502435</v>
      </c>
      <c r="CA6" s="8">
        <v>1.417035567088994</v>
      </c>
      <c r="CB6" s="8">
        <v>1.2631172669327981</v>
      </c>
    </row>
    <row r="7" spans="1:80" x14ac:dyDescent="0.2">
      <c r="A7" s="4" t="s">
        <v>166</v>
      </c>
      <c r="B7" t="s">
        <v>0</v>
      </c>
      <c r="C7" s="8">
        <v>1.2200734956361965</v>
      </c>
      <c r="D7" s="8">
        <v>0.92223572296476308</v>
      </c>
      <c r="E7" s="8">
        <v>1.1215458414971962</v>
      </c>
      <c r="F7" s="8">
        <v>1.1486257210722768</v>
      </c>
      <c r="G7" s="8">
        <v>0.9983429991714996</v>
      </c>
      <c r="H7" s="8">
        <v>1.4655795817086139</v>
      </c>
      <c r="I7" s="8">
        <v>1.1141400709219857</v>
      </c>
      <c r="J7" s="8">
        <v>1.0094339622641511</v>
      </c>
      <c r="K7" s="8">
        <v>1.0861344537815125</v>
      </c>
      <c r="L7" s="8">
        <v>1.2071629213483146</v>
      </c>
      <c r="M7" s="8">
        <v>1.0261282660332542</v>
      </c>
      <c r="N7" s="8">
        <v>1.0194213238208483</v>
      </c>
      <c r="O7" s="8">
        <v>1.0199760287654813</v>
      </c>
      <c r="P7" s="8">
        <v>0.90476190476190477</v>
      </c>
      <c r="Q7" s="8">
        <v>0.95013094222899497</v>
      </c>
      <c r="R7" s="8">
        <v>0.90079365079365081</v>
      </c>
      <c r="S7" s="8">
        <v>2.4516740366392926</v>
      </c>
      <c r="T7" s="8">
        <v>0.81818181818181823</v>
      </c>
      <c r="U7" s="8">
        <v>1.1382660687593422</v>
      </c>
      <c r="V7" s="8">
        <v>1.1541353383458646</v>
      </c>
      <c r="W7" s="8">
        <v>1.5174178311356032</v>
      </c>
      <c r="X7" s="8">
        <v>6.3572895277207389</v>
      </c>
      <c r="Y7" s="8">
        <v>0.84989663120280257</v>
      </c>
      <c r="Z7" s="8">
        <v>1.128874388254486</v>
      </c>
      <c r="AA7" s="8">
        <v>1.988480556984058</v>
      </c>
      <c r="AB7" s="8">
        <v>2.2415123456790123</v>
      </c>
      <c r="AC7" s="8">
        <v>1.4802390098164746</v>
      </c>
      <c r="AD7" s="8">
        <v>1.7907344809394479</v>
      </c>
      <c r="AE7" s="8">
        <v>1.5502304147465438</v>
      </c>
      <c r="AF7" s="8">
        <v>1.6143497757847534</v>
      </c>
      <c r="AG7" s="8">
        <v>1.4944444444444445</v>
      </c>
      <c r="AH7" s="8">
        <v>1.1851851851851851</v>
      </c>
      <c r="AI7" s="8">
        <v>1.2509948269001194</v>
      </c>
      <c r="AJ7" s="8">
        <v>1.0251046025104602</v>
      </c>
      <c r="AK7" s="8">
        <v>2.0730198019801982</v>
      </c>
      <c r="AL7" s="8">
        <v>1.0308880308880308</v>
      </c>
      <c r="AM7" s="8">
        <v>1.1922865013774104</v>
      </c>
      <c r="AN7" s="8">
        <v>1.0631389055923031</v>
      </c>
      <c r="AO7" s="8">
        <v>1.4918367346938775</v>
      </c>
      <c r="AP7" s="8">
        <v>0.82336956521739135</v>
      </c>
      <c r="AQ7" s="8">
        <v>1.3072463768115943</v>
      </c>
      <c r="AR7" s="8">
        <v>1.3616010854816825</v>
      </c>
      <c r="AS7" s="8">
        <v>1.163323953780758</v>
      </c>
      <c r="AT7" s="8">
        <v>0.92500000000000004</v>
      </c>
      <c r="AU7" s="8">
        <v>1.4124513618677044</v>
      </c>
      <c r="AV7" s="8">
        <v>1</v>
      </c>
      <c r="AW7" s="8">
        <v>1.0696202531645569</v>
      </c>
      <c r="AX7" s="8">
        <v>1.0690690690690692</v>
      </c>
      <c r="AY7" s="8">
        <v>1.0596491228070175</v>
      </c>
      <c r="AZ7" s="8">
        <v>1.6897856242118536</v>
      </c>
      <c r="BA7" s="8">
        <v>1.1419532770927969</v>
      </c>
      <c r="BB7" s="8">
        <v>1.1721311475409837</v>
      </c>
      <c r="BC7" s="8">
        <v>1.121401412275937</v>
      </c>
      <c r="BD7" s="8">
        <v>1.1777522935779816</v>
      </c>
      <c r="BE7" s="8">
        <v>1.1388557806912991</v>
      </c>
      <c r="BF7" s="8">
        <v>1.4857142857142858</v>
      </c>
      <c r="BG7" s="8">
        <v>1.1161434977578475</v>
      </c>
      <c r="BH7" s="8">
        <v>1.1228197674418605</v>
      </c>
      <c r="BI7" s="8">
        <v>1.0025740025740026</v>
      </c>
      <c r="BJ7" s="8">
        <v>1.2088010776829816</v>
      </c>
      <c r="BK7" s="8">
        <v>1.0863464651915813</v>
      </c>
      <c r="BL7" s="8">
        <v>1.1292756539235413</v>
      </c>
      <c r="BM7" s="8">
        <v>1.1295420607267297</v>
      </c>
      <c r="BN7" s="8">
        <v>0.86206896551724133</v>
      </c>
      <c r="BO7" s="8">
        <v>1.1448275862068966</v>
      </c>
      <c r="BP7" s="8">
        <v>1.7327586206896552</v>
      </c>
      <c r="BQ7" s="8">
        <v>1.3520833333333333</v>
      </c>
      <c r="BR7" s="8">
        <v>1.1848739495798319</v>
      </c>
      <c r="BS7" s="8">
        <v>1.1378064516129032</v>
      </c>
      <c r="BT7" s="8">
        <v>1.1169977924944812</v>
      </c>
      <c r="BU7" s="8">
        <v>1.0710506424792139</v>
      </c>
      <c r="BV7" s="8">
        <v>1.0628706035253026</v>
      </c>
      <c r="BW7" s="8">
        <v>0.42705422023476802</v>
      </c>
      <c r="BX7" s="8">
        <v>1.1824534161490683</v>
      </c>
      <c r="BY7" s="8">
        <v>4.5</v>
      </c>
      <c r="BZ7" s="8">
        <v>1.0100081611614622</v>
      </c>
      <c r="CA7" s="8">
        <v>1.2841753743401918</v>
      </c>
      <c r="CB7" s="8">
        <v>1.2961730195037628</v>
      </c>
    </row>
    <row r="8" spans="1:80" x14ac:dyDescent="0.2">
      <c r="A8" s="4" t="s">
        <v>167</v>
      </c>
      <c r="B8" t="s">
        <v>0</v>
      </c>
      <c r="C8" s="8">
        <v>1.0306276119122022</v>
      </c>
      <c r="D8" s="8">
        <v>0.81422924901185767</v>
      </c>
      <c r="E8" s="8">
        <v>1.0721686746987953</v>
      </c>
      <c r="F8" s="8">
        <v>0.88626292466765144</v>
      </c>
      <c r="G8" s="8">
        <v>1.1170124481327801</v>
      </c>
      <c r="H8" s="8">
        <v>0.99787151702786381</v>
      </c>
      <c r="I8" s="8">
        <v>1.1718718917843645</v>
      </c>
      <c r="J8" s="8">
        <v>0.92523364485981308</v>
      </c>
      <c r="K8" s="8">
        <v>0.98452611218568664</v>
      </c>
      <c r="L8" s="8">
        <v>1.0104712041884816</v>
      </c>
      <c r="M8" s="8">
        <v>1.0712962962962962</v>
      </c>
      <c r="N8" s="8">
        <v>0.99066874027993779</v>
      </c>
      <c r="O8" s="8">
        <v>0.98864081472777121</v>
      </c>
      <c r="P8" s="8">
        <v>1.263157894736842</v>
      </c>
      <c r="Q8" s="8">
        <v>1.0778826953307559</v>
      </c>
      <c r="R8" s="8">
        <v>0.99339207048458145</v>
      </c>
      <c r="S8" s="8">
        <v>0.70961092501932488</v>
      </c>
      <c r="T8" s="8">
        <v>1.5555555555555556</v>
      </c>
      <c r="U8" s="8">
        <v>0.94221930400525278</v>
      </c>
      <c r="V8" s="8">
        <v>0.66123778501628661</v>
      </c>
      <c r="W8" s="8">
        <v>0.96070038910505839</v>
      </c>
      <c r="X8" s="8">
        <v>1.5386789405684755</v>
      </c>
      <c r="Y8" s="8">
        <v>1.0685419590856837</v>
      </c>
      <c r="Z8" s="8">
        <v>0.93930635838150289</v>
      </c>
      <c r="AA8" s="8">
        <v>0.77804435532001237</v>
      </c>
      <c r="AB8" s="8">
        <v>0.72591942112473218</v>
      </c>
      <c r="AC8" s="8">
        <v>0.90882878726717031</v>
      </c>
      <c r="AD8" s="8">
        <v>0.83423533519553073</v>
      </c>
      <c r="AE8" s="8">
        <v>0.9565992865636147</v>
      </c>
      <c r="AF8" s="8">
        <v>0.97499999999999998</v>
      </c>
      <c r="AG8" s="8">
        <v>0.7806691449814126</v>
      </c>
      <c r="AH8" s="8">
        <v>2.125</v>
      </c>
      <c r="AI8" s="8">
        <v>0.91324055666003978</v>
      </c>
      <c r="AJ8" s="8">
        <v>0.90204081632653066</v>
      </c>
      <c r="AK8" s="8">
        <v>0.75462686567164183</v>
      </c>
      <c r="AL8" s="8">
        <v>0.86142322097378277</v>
      </c>
      <c r="AM8" s="8">
        <v>1.0984288354898337</v>
      </c>
      <c r="AN8" s="8">
        <v>0.9536199095022625</v>
      </c>
      <c r="AO8" s="8">
        <v>0.46238030095759236</v>
      </c>
      <c r="AP8" s="8">
        <v>0.91419141914191415</v>
      </c>
      <c r="AQ8" s="8">
        <v>0.85365853658536583</v>
      </c>
      <c r="AR8" s="8">
        <v>0.81863477827603393</v>
      </c>
      <c r="AS8" s="8">
        <v>0.99619165251402397</v>
      </c>
      <c r="AT8" s="8">
        <v>0.73648648648648651</v>
      </c>
      <c r="AU8" s="8">
        <v>1.0936639118457301</v>
      </c>
      <c r="AV8" s="8">
        <v>1.0208333333333333</v>
      </c>
      <c r="AW8" s="8">
        <v>0.87573964497041423</v>
      </c>
      <c r="AX8" s="8">
        <v>1.0224719101123596</v>
      </c>
      <c r="AY8" s="8">
        <v>1.4139072847682119</v>
      </c>
      <c r="AZ8" s="8">
        <v>0.93731343283582091</v>
      </c>
      <c r="BA8" s="8">
        <v>0.9909077994033243</v>
      </c>
      <c r="BB8" s="8">
        <v>1.0083916083916085</v>
      </c>
      <c r="BC8" s="8">
        <v>1.1264228626786146</v>
      </c>
      <c r="BD8" s="8">
        <v>1.2687439143135346</v>
      </c>
      <c r="BE8" s="8">
        <v>1.1057038199895344</v>
      </c>
      <c r="BF8" s="8">
        <v>1.0461538461538462</v>
      </c>
      <c r="BG8" s="8">
        <v>1.2229811169144236</v>
      </c>
      <c r="BH8" s="8">
        <v>0.96375404530744335</v>
      </c>
      <c r="BI8" s="8">
        <v>1.1454856653829697</v>
      </c>
      <c r="BJ8" s="8">
        <v>1.0973254086181279</v>
      </c>
      <c r="BK8" s="8">
        <v>1.0829607550919027</v>
      </c>
      <c r="BL8" s="8">
        <v>1.1465478841870824</v>
      </c>
      <c r="BM8" s="8">
        <v>1.1586427233667511</v>
      </c>
      <c r="BN8" s="8">
        <v>0.97142857142857142</v>
      </c>
      <c r="BO8" s="8">
        <v>1.1325301204819278</v>
      </c>
      <c r="BP8" s="8">
        <v>0.93532338308457708</v>
      </c>
      <c r="BQ8" s="8">
        <v>1.0878274268104777</v>
      </c>
      <c r="BR8" s="8">
        <v>1.2836879432624113</v>
      </c>
      <c r="BS8" s="8">
        <v>1.1047856656838286</v>
      </c>
      <c r="BT8" s="8">
        <v>1.1383399209486167</v>
      </c>
      <c r="BU8" s="8">
        <v>1.2829922371206774</v>
      </c>
      <c r="BV8" s="8">
        <v>1.0507451280091709</v>
      </c>
      <c r="BW8" s="8">
        <v>0.80104712041884818</v>
      </c>
      <c r="BX8" s="8">
        <v>0.6602101116217991</v>
      </c>
      <c r="BY8" s="8">
        <v>1.2222222222222223</v>
      </c>
      <c r="BZ8" s="8">
        <v>1.2057497660967933</v>
      </c>
      <c r="CA8" s="8">
        <v>0.86041439476553983</v>
      </c>
      <c r="CB8" s="8">
        <v>0.94065654652151587</v>
      </c>
    </row>
    <row r="9" spans="1:80" x14ac:dyDescent="0.2">
      <c r="A9" s="4" t="s">
        <v>247</v>
      </c>
      <c r="B9" t="s">
        <v>0</v>
      </c>
      <c r="C9" s="8">
        <v>0.96005406491442769</v>
      </c>
      <c r="D9" s="8">
        <v>0.90372168284789645</v>
      </c>
      <c r="E9" s="8">
        <v>1.1977188448140241</v>
      </c>
      <c r="F9" s="8">
        <v>1.1416666666666666</v>
      </c>
      <c r="G9" s="8">
        <v>0.90564635958395245</v>
      </c>
      <c r="H9" s="8">
        <v>0.66642427768082213</v>
      </c>
      <c r="I9" s="8">
        <v>1.1996265489730096</v>
      </c>
      <c r="J9" s="8">
        <v>1.0033670033670035</v>
      </c>
      <c r="K9" s="8">
        <v>1.0785854616895874</v>
      </c>
      <c r="L9" s="8">
        <v>0.90558434081750139</v>
      </c>
      <c r="M9" s="8">
        <v>0.97363872082973202</v>
      </c>
      <c r="N9" s="8">
        <v>1.2476452119309263</v>
      </c>
      <c r="O9" s="8">
        <v>1.2515847860538827</v>
      </c>
      <c r="P9" s="8">
        <v>0.83333333333333337</v>
      </c>
      <c r="Q9" s="8">
        <v>0.88483994461990234</v>
      </c>
      <c r="R9" s="8">
        <v>1.1796008869179602</v>
      </c>
      <c r="S9" s="8">
        <v>0.90867828612926649</v>
      </c>
      <c r="T9" s="8">
        <v>1.4285714285714286</v>
      </c>
      <c r="U9" s="8">
        <v>0.9923344947735192</v>
      </c>
      <c r="V9" s="8">
        <v>1.1921182266009853</v>
      </c>
      <c r="W9" s="8">
        <v>0.87727825030376672</v>
      </c>
      <c r="X9" s="8">
        <v>0.26958803463657832</v>
      </c>
      <c r="Y9" s="8">
        <v>0.95159976938119273</v>
      </c>
      <c r="Z9" s="8">
        <v>0.97692307692307689</v>
      </c>
      <c r="AA9" s="8">
        <v>0.87365315087267126</v>
      </c>
      <c r="AB9" s="8">
        <v>0.8269057688399416</v>
      </c>
      <c r="AC9" s="8">
        <v>0.99701776649746188</v>
      </c>
      <c r="AD9" s="8">
        <v>0.91140002092706918</v>
      </c>
      <c r="AE9" s="8">
        <v>0.8682411435674332</v>
      </c>
      <c r="AF9" s="8">
        <v>0.82146248812915479</v>
      </c>
      <c r="AG9" s="8">
        <v>0.99047619047619051</v>
      </c>
      <c r="AH9" s="8">
        <v>0.86764705882352944</v>
      </c>
      <c r="AI9" s="8">
        <v>1.0686172065482411</v>
      </c>
      <c r="AJ9" s="8">
        <v>0.97285067873303166</v>
      </c>
      <c r="AK9" s="8">
        <v>0.74841772151898733</v>
      </c>
      <c r="AL9" s="8">
        <v>1.2630434782608695</v>
      </c>
      <c r="AM9" s="8">
        <v>1.1331510307109802</v>
      </c>
      <c r="AN9" s="8">
        <v>1.0112692763938316</v>
      </c>
      <c r="AO9" s="8">
        <v>1.2928994082840237</v>
      </c>
      <c r="AP9" s="8">
        <v>1.0613718411552346</v>
      </c>
      <c r="AQ9" s="8">
        <v>1.07012987012987</v>
      </c>
      <c r="AR9" s="8">
        <v>1.0456482045039561</v>
      </c>
      <c r="AS9" s="8">
        <v>1.059823319729297</v>
      </c>
      <c r="AT9" s="8">
        <v>1.0275229357798166</v>
      </c>
      <c r="AU9" s="8">
        <v>0.83375314861460958</v>
      </c>
      <c r="AV9" s="8">
        <v>0.98979591836734693</v>
      </c>
      <c r="AW9" s="8">
        <v>1.0033783783783783</v>
      </c>
      <c r="AX9" s="8">
        <v>1.0769230769230769</v>
      </c>
      <c r="AY9" s="8">
        <v>0.69086651053864168</v>
      </c>
      <c r="AZ9" s="8">
        <v>1.0605095541401275</v>
      </c>
      <c r="BA9" s="8">
        <v>1.0963440860215055</v>
      </c>
      <c r="BB9" s="8">
        <v>1.0235783633841886</v>
      </c>
      <c r="BC9" s="8">
        <v>1.1010535368737906</v>
      </c>
      <c r="BD9" s="8">
        <v>1.0567920184190329</v>
      </c>
      <c r="BE9" s="8">
        <v>1.1102697586370089</v>
      </c>
      <c r="BF9" s="8">
        <v>1.0514705882352942</v>
      </c>
      <c r="BG9" s="8">
        <v>1.0266097240473062</v>
      </c>
      <c r="BH9" s="8">
        <v>1.0611148421759571</v>
      </c>
      <c r="BI9" s="8">
        <v>1.0918939110945087</v>
      </c>
      <c r="BJ9" s="8">
        <v>1.0897088693297223</v>
      </c>
      <c r="BK9" s="8">
        <v>1.0362385321100918</v>
      </c>
      <c r="BL9" s="8">
        <v>1.311965811965812</v>
      </c>
      <c r="BM9" s="8">
        <v>1.0434534563088333</v>
      </c>
      <c r="BN9" s="8">
        <v>1.1235294117647059</v>
      </c>
      <c r="BO9" s="8">
        <v>0.89893617021276595</v>
      </c>
      <c r="BP9" s="8">
        <v>0.94680851063829785</v>
      </c>
      <c r="BQ9" s="8">
        <v>1.094900849858357</v>
      </c>
      <c r="BR9" s="8">
        <v>1.0552486187845305</v>
      </c>
      <c r="BS9" s="8">
        <v>0.83781564360500926</v>
      </c>
      <c r="BT9" s="8">
        <v>1.0607638888888888</v>
      </c>
      <c r="BU9" s="8">
        <v>1.3138063806380638</v>
      </c>
      <c r="BV9" s="8">
        <v>1.0950857032026571</v>
      </c>
      <c r="BW9" s="8">
        <v>0.92320261437908502</v>
      </c>
      <c r="BX9" s="8">
        <v>0.6663351566384883</v>
      </c>
      <c r="BY9" s="8">
        <v>2.0909090909090908</v>
      </c>
      <c r="BZ9" s="8">
        <v>1.2592762415349887</v>
      </c>
      <c r="CA9" s="8">
        <v>0.73471775372916059</v>
      </c>
      <c r="CB9" s="8">
        <v>0.92545956754376391</v>
      </c>
    </row>
    <row r="10" spans="1:80" x14ac:dyDescent="0.2">
      <c r="A10" s="4" t="s">
        <v>248</v>
      </c>
      <c r="B10" t="s">
        <v>0</v>
      </c>
      <c r="C10" s="8">
        <v>1.1803774590007992</v>
      </c>
      <c r="D10" s="8">
        <v>1.1629364368845121</v>
      </c>
      <c r="E10" s="8">
        <v>1.2767744054041374</v>
      </c>
      <c r="F10" s="8">
        <v>1.04</v>
      </c>
      <c r="G10" s="8">
        <v>1.3027071369975389</v>
      </c>
      <c r="H10" s="8">
        <v>1.1761838946679275</v>
      </c>
      <c r="I10" s="8">
        <v>1.0304230932503184</v>
      </c>
      <c r="J10" s="8">
        <v>0.8825503355704698</v>
      </c>
      <c r="K10" s="8">
        <v>1.151183970856102</v>
      </c>
      <c r="L10" s="8">
        <v>1.0057215511760966</v>
      </c>
      <c r="M10" s="8">
        <v>1.0865512649800266</v>
      </c>
      <c r="N10" s="8">
        <v>0.96445423089021709</v>
      </c>
      <c r="O10" s="8">
        <v>0.9525166191832859</v>
      </c>
      <c r="P10" s="8">
        <v>2.9</v>
      </c>
      <c r="Q10" s="8">
        <v>1.0059191037263069</v>
      </c>
      <c r="R10" s="8">
        <v>1.0263157894736843</v>
      </c>
      <c r="S10" s="8">
        <v>0.92227772227772231</v>
      </c>
      <c r="T10" s="8">
        <v>1.5</v>
      </c>
      <c r="U10" s="8">
        <v>1.0681179775280898</v>
      </c>
      <c r="V10" s="8">
        <v>1.1322314049586777</v>
      </c>
      <c r="W10" s="8">
        <v>0.93151738996614342</v>
      </c>
      <c r="X10" s="8">
        <v>0.9466614755693985</v>
      </c>
      <c r="Y10" s="8">
        <v>1.0120799500312305</v>
      </c>
      <c r="Z10" s="8">
        <v>1.1196850393700788</v>
      </c>
      <c r="AA10" s="8">
        <v>0.82053008042518816</v>
      </c>
      <c r="AB10" s="8">
        <v>0.75461407923225465</v>
      </c>
      <c r="AC10" s="8">
        <v>0.9028829631515306</v>
      </c>
      <c r="AD10" s="8">
        <v>0.882767429178267</v>
      </c>
      <c r="AE10" s="8">
        <v>1.2927702219040802</v>
      </c>
      <c r="AF10" s="8">
        <v>0.95144508670520234</v>
      </c>
      <c r="AG10" s="8">
        <v>1.2716346153846154</v>
      </c>
      <c r="AH10" s="8">
        <v>3.8559322033898304</v>
      </c>
      <c r="AI10" s="8">
        <v>0.98932529335071706</v>
      </c>
      <c r="AJ10" s="8">
        <v>1.1674418604651162</v>
      </c>
      <c r="AK10" s="8">
        <v>1.109936575052854</v>
      </c>
      <c r="AL10" s="8">
        <v>0.90619621342512913</v>
      </c>
      <c r="AM10" s="8">
        <v>0.95377761277148687</v>
      </c>
      <c r="AN10" s="8">
        <v>0.94721407624633436</v>
      </c>
      <c r="AO10" s="8">
        <v>1.5240274599542334</v>
      </c>
      <c r="AP10" s="8">
        <v>0.95578231292517002</v>
      </c>
      <c r="AQ10" s="8">
        <v>1.0266990291262137</v>
      </c>
      <c r="AR10" s="8">
        <v>0.96682188591385332</v>
      </c>
      <c r="AS10" s="8">
        <v>1.1074335851815744</v>
      </c>
      <c r="AT10" s="8">
        <v>0.9642857142857143</v>
      </c>
      <c r="AU10" s="8">
        <v>1.042296072507553</v>
      </c>
      <c r="AV10" s="8">
        <v>0.79381443298969068</v>
      </c>
      <c r="AW10" s="8">
        <v>0.97755331088664421</v>
      </c>
      <c r="AX10" s="8">
        <v>0.95663265306122447</v>
      </c>
      <c r="AY10" s="8">
        <v>0.81355932203389836</v>
      </c>
      <c r="AZ10" s="8">
        <v>0.79129129129129128</v>
      </c>
      <c r="BA10" s="8">
        <v>1.1732051785013731</v>
      </c>
      <c r="BB10" s="8">
        <v>0.99254742547425479</v>
      </c>
      <c r="BC10" s="8">
        <v>1.0842608865455965</v>
      </c>
      <c r="BD10" s="8">
        <v>1.1604938271604939</v>
      </c>
      <c r="BE10" s="8">
        <v>1.029838022165388</v>
      </c>
      <c r="BF10" s="8">
        <v>0.86713286713286708</v>
      </c>
      <c r="BG10" s="8">
        <v>1.0409600000000001</v>
      </c>
      <c r="BH10" s="8">
        <v>1.1949367088607594</v>
      </c>
      <c r="BI10" s="8">
        <v>1.1070817653096134</v>
      </c>
      <c r="BJ10" s="8">
        <v>1.0146008077042559</v>
      </c>
      <c r="BK10" s="8">
        <v>1.1615759185480301</v>
      </c>
      <c r="BL10" s="8">
        <v>1.0912052117263844</v>
      </c>
      <c r="BM10" s="8">
        <v>1.0810096591944596</v>
      </c>
      <c r="BN10" s="8">
        <v>0.99476439790575921</v>
      </c>
      <c r="BO10" s="8">
        <v>1.0236686390532543</v>
      </c>
      <c r="BP10" s="8">
        <v>1.0280898876404494</v>
      </c>
      <c r="BQ10" s="8">
        <v>1.0012936610608021</v>
      </c>
      <c r="BR10" s="8">
        <v>0.97905759162303663</v>
      </c>
      <c r="BS10" s="8">
        <v>1.051948051948052</v>
      </c>
      <c r="BT10" s="8">
        <v>1.0785597381342062</v>
      </c>
      <c r="BU10" s="8">
        <v>1.1302072430395647</v>
      </c>
      <c r="BV10" s="8">
        <v>1.4703447054395713</v>
      </c>
      <c r="BW10" s="8">
        <v>0.77699115044247791</v>
      </c>
      <c r="BX10" s="8">
        <v>1.3977611940298507</v>
      </c>
      <c r="BY10" s="8">
        <v>0.73913043478260865</v>
      </c>
      <c r="BZ10" s="8">
        <v>1.6681231269081029</v>
      </c>
      <c r="CA10" s="8">
        <v>0.60111464968152861</v>
      </c>
      <c r="CB10" s="8">
        <v>1.0118282419344544</v>
      </c>
    </row>
    <row r="11" spans="1:80" s="3" customFormat="1" x14ac:dyDescent="0.2">
      <c r="A11" s="3" t="s">
        <v>161</v>
      </c>
      <c r="B11" s="3" t="s">
        <v>168</v>
      </c>
      <c r="C11" s="9">
        <v>1.0233955784503113</v>
      </c>
      <c r="D11" s="9">
        <v>1.28099173553719</v>
      </c>
      <c r="E11" s="9">
        <v>1.0679487179487179</v>
      </c>
      <c r="F11" s="9">
        <v>1.2288372093023257</v>
      </c>
      <c r="G11" s="9">
        <v>1.0529157667386608</v>
      </c>
      <c r="H11" s="9">
        <v>1.0347826086956522</v>
      </c>
      <c r="I11" s="9">
        <v>1.0319108035371012</v>
      </c>
      <c r="J11" s="9">
        <v>0.95238095238095233</v>
      </c>
      <c r="K11" s="9">
        <v>1.0415189873417721</v>
      </c>
      <c r="L11" s="9">
        <v>1.0217627856365614</v>
      </c>
      <c r="M11" s="9">
        <v>0.89167812929848689</v>
      </c>
      <c r="N11" s="9">
        <v>1.0042800366860287</v>
      </c>
      <c r="O11" s="9">
        <v>1.0174029451137885</v>
      </c>
      <c r="P11" s="9">
        <v>0.97955209347614414</v>
      </c>
      <c r="Q11" s="9">
        <v>1.1054273237679351</v>
      </c>
      <c r="R11" s="9">
        <v>0.6</v>
      </c>
      <c r="S11" s="9">
        <v>1.2613636363636365</v>
      </c>
      <c r="T11" s="9">
        <v>1.6176470588235294</v>
      </c>
      <c r="U11" s="9">
        <v>1.0245098039215685</v>
      </c>
      <c r="V11" s="9">
        <v>1.0943396226415094</v>
      </c>
      <c r="W11" s="9">
        <v>0.91919191919191923</v>
      </c>
      <c r="X11" s="9">
        <v>0.91961414790996787</v>
      </c>
      <c r="Y11" s="9">
        <v>1.2005899705014749</v>
      </c>
      <c r="Z11" s="9">
        <v>1.0834845735027223</v>
      </c>
      <c r="AA11" s="9">
        <v>1.2627097102186071</v>
      </c>
      <c r="AB11" s="9">
        <v>2.7254901960784315</v>
      </c>
      <c r="AC11" s="9">
        <v>1.2594895989706199</v>
      </c>
      <c r="AD11" s="9">
        <v>1.2731092436974789</v>
      </c>
      <c r="AE11" s="9">
        <v>1.0028571428571429</v>
      </c>
      <c r="AF11" s="9">
        <v>0.91803278688524592</v>
      </c>
      <c r="AG11" s="9">
        <v>0.99161073825503354</v>
      </c>
      <c r="AH11" s="9">
        <v>1.2045454545454546</v>
      </c>
      <c r="AI11" s="9">
        <v>1.0125970041508754</v>
      </c>
      <c r="AJ11" s="9">
        <v>0.98049792531120328</v>
      </c>
      <c r="AK11" s="9">
        <v>1.0070197830248884</v>
      </c>
      <c r="AL11" s="9">
        <v>1.0220661985957873</v>
      </c>
      <c r="AM11" s="9">
        <v>0.99216105469445925</v>
      </c>
      <c r="AN11" s="9">
        <v>1.0496936691626957</v>
      </c>
      <c r="AO11" s="9">
        <v>0.97502972651605235</v>
      </c>
      <c r="AP11" s="9">
        <v>1.0771195097037793</v>
      </c>
      <c r="AQ11" s="9">
        <v>1.0241397021058039</v>
      </c>
      <c r="AR11" s="9">
        <v>1.0513767629281396</v>
      </c>
      <c r="AS11" s="9">
        <v>1.0169365411189455</v>
      </c>
      <c r="AT11" s="9">
        <v>0.97560975609756095</v>
      </c>
      <c r="AU11" s="9">
        <v>1.0532509561635774</v>
      </c>
      <c r="AV11" s="9">
        <v>1.078927203065134</v>
      </c>
      <c r="AW11" s="9">
        <v>0.97865955318439479</v>
      </c>
      <c r="AX11" s="9">
        <v>1.0075482247693599</v>
      </c>
      <c r="AY11" s="9">
        <v>0.98622303093319474</v>
      </c>
      <c r="AZ11" s="9">
        <v>1.2081358609794628</v>
      </c>
      <c r="BA11" s="9">
        <v>0.92121887774061684</v>
      </c>
      <c r="BB11" s="9">
        <v>0.99675745784695202</v>
      </c>
      <c r="BC11" s="9">
        <v>1.1413018232493322</v>
      </c>
      <c r="BD11" s="9">
        <v>1.0754120568977197</v>
      </c>
      <c r="BE11" s="9">
        <v>1.1572080887149381</v>
      </c>
      <c r="BF11" s="9">
        <v>1.0739495798319327</v>
      </c>
      <c r="BG11" s="9">
        <v>0.92416079569001242</v>
      </c>
      <c r="BH11" s="9">
        <v>1.0732630717282308</v>
      </c>
      <c r="BI11" s="9">
        <v>1.067543499109467</v>
      </c>
      <c r="BJ11" s="9">
        <v>1.1182672473068989</v>
      </c>
      <c r="BK11" s="9">
        <v>1.0841566895269092</v>
      </c>
      <c r="BL11" s="9">
        <v>2.8558789289871944</v>
      </c>
      <c r="BM11" s="9">
        <v>1.0051034311903877</v>
      </c>
      <c r="BN11" s="9">
        <v>0.98073449729078865</v>
      </c>
      <c r="BO11" s="9">
        <v>0.99532273152478956</v>
      </c>
      <c r="BP11" s="9">
        <v>1.0512995896032831</v>
      </c>
      <c r="BQ11" s="9">
        <v>1.0145163163395656</v>
      </c>
      <c r="BR11" s="9">
        <v>0.98864668483197093</v>
      </c>
      <c r="BS11" s="9">
        <v>0.96862048549437541</v>
      </c>
      <c r="BT11" s="9">
        <v>0.98273070696168374</v>
      </c>
      <c r="BU11" s="9">
        <v>1.023621466007234</v>
      </c>
      <c r="BV11" s="9">
        <v>2.1478618751254768</v>
      </c>
      <c r="BW11" s="9">
        <v>3</v>
      </c>
      <c r="BX11" s="9">
        <v>0.51219512195121952</v>
      </c>
      <c r="BY11" s="9">
        <v>0.42857142857142855</v>
      </c>
      <c r="BZ11" s="9">
        <v>0.83288698446705944</v>
      </c>
      <c r="CA11" s="9">
        <v>6.2049180327868854</v>
      </c>
      <c r="CB11" s="9">
        <v>1.1334643889205607</v>
      </c>
    </row>
    <row r="12" spans="1:80" x14ac:dyDescent="0.2">
      <c r="A12" t="s">
        <v>162</v>
      </c>
      <c r="B12" t="s">
        <v>168</v>
      </c>
      <c r="C12" s="8">
        <v>1.0578859060402686</v>
      </c>
      <c r="D12" s="8">
        <v>1.0838709677419356</v>
      </c>
      <c r="E12" s="8">
        <v>0.98679471788715489</v>
      </c>
      <c r="F12" s="8">
        <v>1.0749432248296744</v>
      </c>
      <c r="G12" s="8">
        <v>1.0323076923076924</v>
      </c>
      <c r="H12" s="8">
        <v>1.1298701298701299</v>
      </c>
      <c r="I12" s="8">
        <v>0.98621460506706404</v>
      </c>
      <c r="J12" s="8">
        <v>1.05</v>
      </c>
      <c r="K12" s="8">
        <v>0.98736023334953815</v>
      </c>
      <c r="L12" s="8">
        <v>1.1714589989350372</v>
      </c>
      <c r="M12" s="8">
        <v>1.1453914384882375</v>
      </c>
      <c r="N12" s="8">
        <v>1.0779299847792998</v>
      </c>
      <c r="O12" s="8">
        <v>1.0877192982456141</v>
      </c>
      <c r="P12" s="8">
        <v>1.0566600397614314</v>
      </c>
      <c r="Q12" s="8">
        <v>1.1244356659142212</v>
      </c>
      <c r="R12" s="8">
        <v>0.66666666666666663</v>
      </c>
      <c r="S12" s="8">
        <v>1.0360360360360361</v>
      </c>
      <c r="T12" s="8">
        <v>0.96969696969696972</v>
      </c>
      <c r="U12" s="8">
        <v>1.2452153110047848</v>
      </c>
      <c r="V12" s="8">
        <v>1.2241379310344827</v>
      </c>
      <c r="W12" s="8">
        <v>1.0879120879120878</v>
      </c>
      <c r="X12" s="8">
        <v>1.1048951048951048</v>
      </c>
      <c r="Y12" s="8">
        <v>1.0696150696150697</v>
      </c>
      <c r="Z12" s="8">
        <v>1.1088777219430486</v>
      </c>
      <c r="AA12" s="8">
        <v>1.3592350276799194</v>
      </c>
      <c r="AB12" s="8">
        <v>1.2805755395683454</v>
      </c>
      <c r="AC12" s="8">
        <v>1.3603609739485782</v>
      </c>
      <c r="AD12" s="8">
        <v>1.2871287128712872</v>
      </c>
      <c r="AE12" s="8">
        <v>1.0769230769230769</v>
      </c>
      <c r="AF12" s="8">
        <v>1.25</v>
      </c>
      <c r="AG12" s="8">
        <v>1.0609137055837563</v>
      </c>
      <c r="AH12" s="8">
        <v>1.0188679245283019</v>
      </c>
      <c r="AI12" s="8">
        <v>1.0635559991445069</v>
      </c>
      <c r="AJ12" s="8">
        <v>1.060939483707152</v>
      </c>
      <c r="AK12" s="8">
        <v>0.70152091254752846</v>
      </c>
      <c r="AL12" s="8">
        <v>1.0902845927379785</v>
      </c>
      <c r="AM12" s="8">
        <v>1.0578200754174896</v>
      </c>
      <c r="AN12" s="8">
        <v>1.1656939040207523</v>
      </c>
      <c r="AO12" s="8">
        <v>1.1676829268292683</v>
      </c>
      <c r="AP12" s="8">
        <v>1.166429587482219</v>
      </c>
      <c r="AQ12" s="8">
        <v>1.1013039117352057</v>
      </c>
      <c r="AR12" s="8">
        <v>1.0095816033216225</v>
      </c>
      <c r="AS12" s="8">
        <v>1.1303787324483467</v>
      </c>
      <c r="AT12" s="8">
        <v>0.96250000000000002</v>
      </c>
      <c r="AU12" s="8">
        <v>1.1078212290502794</v>
      </c>
      <c r="AV12" s="8">
        <v>1.1335227272727273</v>
      </c>
      <c r="AW12" s="8">
        <v>1.0776831345826234</v>
      </c>
      <c r="AX12" s="8">
        <v>1.0588235294117647</v>
      </c>
      <c r="AY12" s="8">
        <v>1.0643120716921455</v>
      </c>
      <c r="AZ12" s="8">
        <v>1.2752533507682249</v>
      </c>
      <c r="BA12" s="8">
        <v>1.1194029850746268</v>
      </c>
      <c r="BB12" s="8">
        <v>1.1761873780091086</v>
      </c>
      <c r="BC12" s="8">
        <v>1.0294319656075908</v>
      </c>
      <c r="BD12" s="8">
        <v>1.2462733571278606</v>
      </c>
      <c r="BE12" s="8">
        <v>1.1819616685456595</v>
      </c>
      <c r="BF12" s="8">
        <v>1.1752738654147106</v>
      </c>
      <c r="BG12" s="8">
        <v>1.1174887892376681</v>
      </c>
      <c r="BH12" s="8">
        <v>1.1351892458766326</v>
      </c>
      <c r="BI12" s="8">
        <v>1.1015143737166324</v>
      </c>
      <c r="BJ12" s="8">
        <v>1.1493475438956071</v>
      </c>
      <c r="BK12" s="8">
        <v>1.0477913584217862</v>
      </c>
      <c r="BL12" s="8">
        <v>0.35007337355291046</v>
      </c>
      <c r="BM12" s="8">
        <v>1.0918882945946613</v>
      </c>
      <c r="BN12" s="8">
        <v>1.098219766728054</v>
      </c>
      <c r="BO12" s="8">
        <v>1.1452067669172932</v>
      </c>
      <c r="BP12" s="8">
        <v>1.199089134677944</v>
      </c>
      <c r="BQ12" s="8">
        <v>1.0850503663003663</v>
      </c>
      <c r="BR12" s="8">
        <v>1.067524115755627</v>
      </c>
      <c r="BS12" s="8">
        <v>1.1253056234718826</v>
      </c>
      <c r="BT12" s="8">
        <v>1.0620538165842943</v>
      </c>
      <c r="BU12" s="8">
        <v>1.0594216485180645</v>
      </c>
      <c r="BV12" s="8">
        <v>0.56736925737252886</v>
      </c>
      <c r="BW12" s="8">
        <v>0.41666666666666669</v>
      </c>
      <c r="BX12" s="8">
        <v>1.4285714285714286</v>
      </c>
      <c r="BY12" s="8">
        <v>2.3333333333333335</v>
      </c>
      <c r="BZ12" s="8">
        <v>1.0265273311897105</v>
      </c>
      <c r="CA12" s="8">
        <v>0.37721268163804489</v>
      </c>
      <c r="CB12" s="8">
        <v>1.0546635170712926</v>
      </c>
    </row>
    <row r="13" spans="1:80" x14ac:dyDescent="0.2">
      <c r="A13" t="s">
        <v>163</v>
      </c>
      <c r="B13" t="s">
        <v>168</v>
      </c>
      <c r="C13" s="8">
        <v>1.119349722442506</v>
      </c>
      <c r="D13" s="8">
        <v>0.86309523809523814</v>
      </c>
      <c r="E13" s="8">
        <v>1.2518248175182483</v>
      </c>
      <c r="F13" s="8">
        <v>1.0401408450704226</v>
      </c>
      <c r="G13" s="8">
        <v>1.0104321907600595</v>
      </c>
      <c r="H13" s="8">
        <v>1.2954699121027722</v>
      </c>
      <c r="I13" s="8">
        <v>1.0600680015111448</v>
      </c>
      <c r="J13" s="8">
        <v>1.0041407867494825</v>
      </c>
      <c r="K13" s="8">
        <v>1.0492368291482028</v>
      </c>
      <c r="L13" s="8">
        <v>1.1254545454545455</v>
      </c>
      <c r="M13" s="8">
        <v>1.2383838383838384</v>
      </c>
      <c r="N13" s="8">
        <v>1.0725783676927421</v>
      </c>
      <c r="O13" s="8">
        <v>1.0838709677419356</v>
      </c>
      <c r="P13" s="8">
        <v>1.0470366886171214</v>
      </c>
      <c r="Q13" s="8">
        <v>0.78745294855708914</v>
      </c>
      <c r="R13" s="8">
        <v>3.5</v>
      </c>
      <c r="S13" s="8">
        <v>1.1043478260869566</v>
      </c>
      <c r="T13" s="8">
        <v>0.91874999999999996</v>
      </c>
      <c r="U13" s="8">
        <v>0.7694524495677233</v>
      </c>
      <c r="V13" s="8">
        <v>0.91549295774647887</v>
      </c>
      <c r="W13" s="8">
        <v>0.98989898989898994</v>
      </c>
      <c r="X13" s="8">
        <v>0.90506329113924056</v>
      </c>
      <c r="Y13" s="8">
        <v>0.56967840735068909</v>
      </c>
      <c r="Z13" s="8">
        <v>1.0045317220543806</v>
      </c>
      <c r="AA13" s="8">
        <v>0.95759281200631907</v>
      </c>
      <c r="AB13" s="8">
        <v>1.1404494382022472</v>
      </c>
      <c r="AC13" s="8">
        <v>0.960197261371317</v>
      </c>
      <c r="AD13" s="8">
        <v>0.60512820512820509</v>
      </c>
      <c r="AE13" s="8">
        <v>0.95899470899470896</v>
      </c>
      <c r="AF13" s="8">
        <v>1.1857142857142857</v>
      </c>
      <c r="AG13" s="8">
        <v>0.92344497607655507</v>
      </c>
      <c r="AH13" s="8">
        <v>1.1851851851851851</v>
      </c>
      <c r="AI13" s="8">
        <v>1.0397828199886048</v>
      </c>
      <c r="AJ13" s="8">
        <v>0.90147586757080178</v>
      </c>
      <c r="AK13" s="8">
        <v>0.93134598012646796</v>
      </c>
      <c r="AL13" s="8">
        <v>0.97569756975697575</v>
      </c>
      <c r="AM13" s="8">
        <v>1.1128840604311663</v>
      </c>
      <c r="AN13" s="8">
        <v>1.0751043115438108</v>
      </c>
      <c r="AO13" s="8">
        <v>1.122715404699739</v>
      </c>
      <c r="AP13" s="8">
        <v>0.89878048780487807</v>
      </c>
      <c r="AQ13" s="8">
        <v>1.0136612021857923</v>
      </c>
      <c r="AR13" s="8">
        <v>0.97753875355900033</v>
      </c>
      <c r="AS13" s="8">
        <v>0.99516074345775674</v>
      </c>
      <c r="AT13" s="8">
        <v>0.9285714285714286</v>
      </c>
      <c r="AU13" s="8">
        <v>1.0695915279878971</v>
      </c>
      <c r="AV13" s="8">
        <v>0.95050125313283207</v>
      </c>
      <c r="AW13" s="8">
        <v>1.0546949098956686</v>
      </c>
      <c r="AX13" s="8">
        <v>1.0047169811320755</v>
      </c>
      <c r="AY13" s="8">
        <v>1.0178306092124814</v>
      </c>
      <c r="AZ13" s="8">
        <v>0.83850294796206104</v>
      </c>
      <c r="BA13" s="8">
        <v>1.0356756756756758</v>
      </c>
      <c r="BB13" s="8">
        <v>0.99092820002212634</v>
      </c>
      <c r="BC13" s="8">
        <v>1.0155019603966919</v>
      </c>
      <c r="BD13" s="8">
        <v>1.0630053908355794</v>
      </c>
      <c r="BE13" s="8">
        <v>1.0194582220526516</v>
      </c>
      <c r="BF13" s="8">
        <v>1.1504660452729694</v>
      </c>
      <c r="BG13" s="8">
        <v>1.0464151952915999</v>
      </c>
      <c r="BH13" s="8">
        <v>0.98572268413538255</v>
      </c>
      <c r="BI13" s="8">
        <v>1.0280787603402073</v>
      </c>
      <c r="BJ13" s="8">
        <v>1.0373298460441063</v>
      </c>
      <c r="BK13" s="8">
        <v>0.95382568877746798</v>
      </c>
      <c r="BL13" s="8">
        <v>1.3181183046110851</v>
      </c>
      <c r="BM13" s="8">
        <v>1.0453509108557755</v>
      </c>
      <c r="BN13" s="8">
        <v>0.97372833985466745</v>
      </c>
      <c r="BO13" s="8">
        <v>1.0223635617562576</v>
      </c>
      <c r="BP13" s="8">
        <v>1.0233315246880086</v>
      </c>
      <c r="BQ13" s="8">
        <v>1.0765903576326616</v>
      </c>
      <c r="BR13" s="8">
        <v>1.1032702237521514</v>
      </c>
      <c r="BS13" s="8">
        <v>1.0491580662683324</v>
      </c>
      <c r="BT13" s="8">
        <v>1.0744570837642193</v>
      </c>
      <c r="BU13" s="8">
        <v>1.0300864474848548</v>
      </c>
      <c r="BV13" s="8">
        <v>0.92677100494233933</v>
      </c>
      <c r="BW13" s="8">
        <v>1</v>
      </c>
      <c r="BX13" s="8">
        <v>1.1000000000000001</v>
      </c>
      <c r="BY13" s="8">
        <v>0.2857142857142857</v>
      </c>
      <c r="BZ13" s="8">
        <v>1.060610806577917</v>
      </c>
      <c r="CA13" s="8">
        <v>0.776396427946069</v>
      </c>
      <c r="CB13" s="8">
        <v>1.0115079756618977</v>
      </c>
    </row>
    <row r="14" spans="1:80" x14ac:dyDescent="0.2">
      <c r="A14" t="s">
        <v>164</v>
      </c>
      <c r="B14" t="s">
        <v>168</v>
      </c>
      <c r="C14" s="8">
        <v>1.0394969890187744</v>
      </c>
      <c r="D14" s="8">
        <v>1.0827586206896551</v>
      </c>
      <c r="E14" s="8">
        <v>0.87949465500485913</v>
      </c>
      <c r="F14" s="8">
        <v>1.0758293838862558</v>
      </c>
      <c r="G14" s="8">
        <v>0.92527040314650932</v>
      </c>
      <c r="H14" s="8">
        <v>1.0897703549060542</v>
      </c>
      <c r="I14" s="8">
        <v>1.1072701354240913</v>
      </c>
      <c r="J14" s="8">
        <v>1.0082474226804123</v>
      </c>
      <c r="K14" s="8">
        <v>1.0361332707648991</v>
      </c>
      <c r="L14" s="8">
        <v>1.0945072697899838</v>
      </c>
      <c r="M14" s="8">
        <v>1.0396954866775421</v>
      </c>
      <c r="N14" s="8">
        <v>0.91495523959978942</v>
      </c>
      <c r="O14" s="8">
        <v>0.96168154761904767</v>
      </c>
      <c r="P14" s="8">
        <v>0.80053908355795145</v>
      </c>
      <c r="Q14" s="8">
        <v>1.0379222434671767</v>
      </c>
      <c r="R14" s="8">
        <v>1</v>
      </c>
      <c r="S14" s="8">
        <v>1.110236220472441</v>
      </c>
      <c r="T14" s="8">
        <v>0.82993197278911568</v>
      </c>
      <c r="U14" s="8">
        <v>1</v>
      </c>
      <c r="V14" s="8">
        <v>0.92307692307692313</v>
      </c>
      <c r="W14" s="8">
        <v>0.98979591836734693</v>
      </c>
      <c r="X14" s="8">
        <v>1.0419580419580419</v>
      </c>
      <c r="Y14" s="8">
        <v>1.1693548387096775</v>
      </c>
      <c r="Z14" s="8">
        <v>1.0315789473684212</v>
      </c>
      <c r="AA14" s="8">
        <v>0.59565912254472342</v>
      </c>
      <c r="AB14" s="8">
        <v>0.72906403940886699</v>
      </c>
      <c r="AC14" s="8">
        <v>0.59232995281174228</v>
      </c>
      <c r="AD14" s="8">
        <v>1.0254237288135593</v>
      </c>
      <c r="AE14" s="8">
        <v>1.056551724137931</v>
      </c>
      <c r="AF14" s="8">
        <v>1.0240963855421688</v>
      </c>
      <c r="AG14" s="8">
        <v>1.0829015544041452</v>
      </c>
      <c r="AH14" s="8">
        <v>0.859375</v>
      </c>
      <c r="AI14" s="8">
        <v>1.0730724600309438</v>
      </c>
      <c r="AJ14" s="8">
        <v>1.1805309734513274</v>
      </c>
      <c r="AK14" s="8">
        <v>1.0116391852570321</v>
      </c>
      <c r="AL14" s="8">
        <v>1</v>
      </c>
      <c r="AM14" s="8">
        <v>1.0526235509456987</v>
      </c>
      <c r="AN14" s="8">
        <v>1.0271668822768434</v>
      </c>
      <c r="AO14" s="8">
        <v>0.98697674418604653</v>
      </c>
      <c r="AP14" s="8">
        <v>0.96698326549072822</v>
      </c>
      <c r="AQ14" s="8">
        <v>1.0305480682839174</v>
      </c>
      <c r="AR14" s="8">
        <v>1.3485436893203884</v>
      </c>
      <c r="AS14" s="8">
        <v>1.0654463234838629</v>
      </c>
      <c r="AT14" s="8">
        <v>0.94405594405594406</v>
      </c>
      <c r="AU14" s="8">
        <v>0.96393210749646396</v>
      </c>
      <c r="AV14" s="8">
        <v>0.9353988134475939</v>
      </c>
      <c r="AW14" s="8">
        <v>0.98141486810551559</v>
      </c>
      <c r="AX14" s="8">
        <v>1.5378195096504956</v>
      </c>
      <c r="AY14" s="8">
        <v>0.94136253041362528</v>
      </c>
      <c r="AZ14" s="8">
        <v>0.95811678385814736</v>
      </c>
      <c r="BA14" s="8">
        <v>1.2512178148921365</v>
      </c>
      <c r="BB14" s="8">
        <v>1.0034609802389194</v>
      </c>
      <c r="BC14" s="8">
        <v>0.97128627743620521</v>
      </c>
      <c r="BD14" s="8">
        <v>0.90190174326465922</v>
      </c>
      <c r="BE14" s="8">
        <v>0.99176646706586824</v>
      </c>
      <c r="BF14" s="8">
        <v>0.86921296296296291</v>
      </c>
      <c r="BG14" s="8">
        <v>1.0017256806851591</v>
      </c>
      <c r="BH14" s="8">
        <v>1.0611740649228933</v>
      </c>
      <c r="BI14" s="8">
        <v>0.99660018132366279</v>
      </c>
      <c r="BJ14" s="8">
        <v>1.0248696349779383</v>
      </c>
      <c r="BK14" s="8">
        <v>0.89851418763074609</v>
      </c>
      <c r="BL14" s="8">
        <v>0.9885159010600707</v>
      </c>
      <c r="BM14" s="8">
        <v>0.99416947395698363</v>
      </c>
      <c r="BN14" s="8">
        <v>0.99081515499425943</v>
      </c>
      <c r="BO14" s="8">
        <v>1.0483644390929159</v>
      </c>
      <c r="BP14" s="8">
        <v>0.80169671261930009</v>
      </c>
      <c r="BQ14" s="8">
        <v>0.99813816756491913</v>
      </c>
      <c r="BR14" s="8">
        <v>0.82176287051482055</v>
      </c>
      <c r="BS14" s="8">
        <v>1.0041418586590733</v>
      </c>
      <c r="BT14" s="8">
        <v>0.90423484119345521</v>
      </c>
      <c r="BU14" s="8">
        <v>1.034097667349501</v>
      </c>
      <c r="BV14" s="8">
        <v>1.0589280952804194</v>
      </c>
      <c r="BW14" s="8">
        <v>0.4</v>
      </c>
      <c r="BX14" s="8">
        <v>1.8181818181818181</v>
      </c>
      <c r="BY14" s="8">
        <v>6</v>
      </c>
      <c r="BZ14" s="8">
        <v>1.3597164796219727</v>
      </c>
      <c r="CA14" s="8">
        <v>0.59359494812810099</v>
      </c>
      <c r="CB14" s="8">
        <v>0.95465438027761429</v>
      </c>
    </row>
    <row r="15" spans="1:80" x14ac:dyDescent="0.2">
      <c r="A15" t="s">
        <v>165</v>
      </c>
      <c r="B15" t="s">
        <v>168</v>
      </c>
      <c r="C15" s="8">
        <v>0.93201567558357468</v>
      </c>
      <c r="D15" s="8">
        <v>0.99363057324840764</v>
      </c>
      <c r="E15" s="8">
        <v>1.0674033149171271</v>
      </c>
      <c r="F15" s="8">
        <v>0.90497168030207675</v>
      </c>
      <c r="G15" s="8">
        <v>0.99574920297555791</v>
      </c>
      <c r="H15" s="8">
        <v>0.82710727969348663</v>
      </c>
      <c r="I15" s="8">
        <v>0.91309945284840688</v>
      </c>
      <c r="J15" s="8">
        <v>1.0040899795501022</v>
      </c>
      <c r="K15" s="8">
        <v>0.98007246376811596</v>
      </c>
      <c r="L15" s="8">
        <v>0.90036900369003692</v>
      </c>
      <c r="M15" s="8">
        <v>0.92442468619246865</v>
      </c>
      <c r="N15" s="8">
        <v>0.99251798561151083</v>
      </c>
      <c r="O15" s="8">
        <v>1.0615087040618956</v>
      </c>
      <c r="P15" s="8">
        <v>0.79012345679012341</v>
      </c>
      <c r="Q15" s="8">
        <v>1.3039607000307032</v>
      </c>
      <c r="R15" s="8">
        <v>0.2857142857142857</v>
      </c>
      <c r="S15" s="8">
        <v>0.72340425531914898</v>
      </c>
      <c r="T15" s="8">
        <v>1.098360655737705</v>
      </c>
      <c r="U15" s="8">
        <v>1.3121098626716605</v>
      </c>
      <c r="V15" s="8">
        <v>1.1708333333333334</v>
      </c>
      <c r="W15" s="8">
        <v>1.1855670103092784</v>
      </c>
      <c r="X15" s="8">
        <v>1.4295302013422819</v>
      </c>
      <c r="Y15" s="8">
        <v>1.6379310344827587</v>
      </c>
      <c r="Z15" s="8">
        <v>1.0379008746355685</v>
      </c>
      <c r="AA15" s="8">
        <v>1.4952397438116669</v>
      </c>
      <c r="AB15" s="8">
        <v>1.3513513513513513</v>
      </c>
      <c r="AC15" s="8">
        <v>1.4984154929577465</v>
      </c>
      <c r="AD15" s="8">
        <v>1.28099173553719</v>
      </c>
      <c r="AE15" s="8">
        <v>1.0848563968668408</v>
      </c>
      <c r="AF15" s="8">
        <v>1.0588235294117647</v>
      </c>
      <c r="AG15" s="8">
        <v>1.0845295055821371</v>
      </c>
      <c r="AH15" s="8">
        <v>1.1090909090909091</v>
      </c>
      <c r="AI15" s="8">
        <v>1.1120422937130154</v>
      </c>
      <c r="AJ15" s="8">
        <v>1.1435532233883059</v>
      </c>
      <c r="AK15" s="8">
        <v>1.2329817833173538</v>
      </c>
      <c r="AL15" s="8">
        <v>1.0627306273062731</v>
      </c>
      <c r="AM15" s="8">
        <v>1.0701347630778149</v>
      </c>
      <c r="AN15" s="8">
        <v>0.97254408060453401</v>
      </c>
      <c r="AO15" s="8">
        <v>1.5499528746465598</v>
      </c>
      <c r="AP15" s="8">
        <v>1.2521047708138446</v>
      </c>
      <c r="AQ15" s="8">
        <v>1.0671316477768091</v>
      </c>
      <c r="AR15" s="8">
        <v>1.0775137988960883</v>
      </c>
      <c r="AS15" s="8">
        <v>1.0749440390709033</v>
      </c>
      <c r="AT15" s="8">
        <v>1.288888888888889</v>
      </c>
      <c r="AU15" s="8">
        <v>1.0635852286622647</v>
      </c>
      <c r="AV15" s="8">
        <v>1.1825229034531359</v>
      </c>
      <c r="AW15" s="8">
        <v>0.98259010384850332</v>
      </c>
      <c r="AX15" s="8">
        <v>0.79579375848032563</v>
      </c>
      <c r="AY15" s="8">
        <v>1.1064874644611011</v>
      </c>
      <c r="AZ15" s="8">
        <v>1.2922782386726228</v>
      </c>
      <c r="BA15" s="8">
        <v>1.1279199110122358</v>
      </c>
      <c r="BB15" s="8">
        <v>1.1658878504672898</v>
      </c>
      <c r="BC15" s="8">
        <v>1.1307684599068026</v>
      </c>
      <c r="BD15" s="8">
        <v>0.94043226146547176</v>
      </c>
      <c r="BE15" s="8">
        <v>1.223679245283019</v>
      </c>
      <c r="BF15" s="8">
        <v>1.292942743009321</v>
      </c>
      <c r="BG15" s="8">
        <v>1.0805206405921011</v>
      </c>
      <c r="BH15" s="8">
        <v>1.0601364913689282</v>
      </c>
      <c r="BI15" s="8">
        <v>1.0053445531043894</v>
      </c>
      <c r="BJ15" s="8">
        <v>1.098909700866648</v>
      </c>
      <c r="BK15" s="8">
        <v>1.2798041907945794</v>
      </c>
      <c r="BL15" s="8">
        <v>1.0293118856121537</v>
      </c>
      <c r="BM15" s="8">
        <v>1.0889048177592424</v>
      </c>
      <c r="BN15" s="8">
        <v>1.13441483198146</v>
      </c>
      <c r="BO15" s="8">
        <v>1.0809724349157734</v>
      </c>
      <c r="BP15" s="8">
        <v>1.0793650793650793</v>
      </c>
      <c r="BQ15" s="8">
        <v>1.0783428234832122</v>
      </c>
      <c r="BR15" s="8">
        <v>1.144280968201234</v>
      </c>
      <c r="BS15" s="8">
        <v>1.0537509667440061</v>
      </c>
      <c r="BT15" s="8">
        <v>1.1000532197977648</v>
      </c>
      <c r="BU15" s="8">
        <v>1.1029458751357915</v>
      </c>
      <c r="BV15" s="8">
        <v>0.94099378881987583</v>
      </c>
      <c r="BW15" s="8">
        <v>2</v>
      </c>
      <c r="BX15" s="8">
        <v>0.93333333333333335</v>
      </c>
      <c r="BY15" s="8">
        <v>0.91666666666666663</v>
      </c>
      <c r="BZ15" s="8">
        <v>0.70862293657688968</v>
      </c>
      <c r="CA15" s="8">
        <v>1.753419452887538</v>
      </c>
      <c r="CB15" s="8">
        <v>1.1247637115424569</v>
      </c>
    </row>
    <row r="16" spans="1:80" x14ac:dyDescent="0.2">
      <c r="A16" t="s">
        <v>166</v>
      </c>
      <c r="B16" t="s">
        <v>168</v>
      </c>
      <c r="C16" s="8">
        <v>1.1893967093235831</v>
      </c>
      <c r="D16" s="8">
        <v>1.0705128205128205</v>
      </c>
      <c r="E16" s="8">
        <v>1.1076604554865424</v>
      </c>
      <c r="F16" s="8">
        <v>1.2579972183588317</v>
      </c>
      <c r="G16" s="8">
        <v>1.3068303094983991</v>
      </c>
      <c r="H16" s="8">
        <v>1.1644470179502027</v>
      </c>
      <c r="I16" s="8">
        <v>1.1149101163200563</v>
      </c>
      <c r="J16" s="8">
        <v>1.1507128309572301</v>
      </c>
      <c r="K16" s="8">
        <v>1.1857670979667283</v>
      </c>
      <c r="L16" s="8">
        <v>1.360655737704918</v>
      </c>
      <c r="M16" s="8">
        <v>1.1493635077793494</v>
      </c>
      <c r="N16" s="8">
        <v>1.1162655842273124</v>
      </c>
      <c r="O16" s="8">
        <v>1.1552478134110786</v>
      </c>
      <c r="P16" s="8">
        <v>0.96875</v>
      </c>
      <c r="Q16" s="8">
        <v>1.0955968919237109</v>
      </c>
      <c r="R16" s="8">
        <v>2</v>
      </c>
      <c r="S16" s="8">
        <v>1.3235294117647058</v>
      </c>
      <c r="T16" s="8">
        <v>1.1044776119402986</v>
      </c>
      <c r="U16" s="8">
        <v>1.373929590865842</v>
      </c>
      <c r="V16" s="8">
        <v>1.2989323843416369</v>
      </c>
      <c r="W16" s="8">
        <v>1.0869565217391304</v>
      </c>
      <c r="X16" s="8">
        <v>1.4178403755868545</v>
      </c>
      <c r="Y16" s="8">
        <v>0.66315789473684206</v>
      </c>
      <c r="Z16" s="8">
        <v>1.2373595505617978</v>
      </c>
      <c r="AA16" s="8">
        <v>1.9045496642741375</v>
      </c>
      <c r="AB16" s="8">
        <v>1.875</v>
      </c>
      <c r="AC16" s="8">
        <v>1.9117025026436376</v>
      </c>
      <c r="AD16" s="8">
        <v>1.1354838709677419</v>
      </c>
      <c r="AE16" s="8">
        <v>1.3164861612515042</v>
      </c>
      <c r="AF16" s="8">
        <v>1.4222222222222223</v>
      </c>
      <c r="AG16" s="8">
        <v>1.3058823529411765</v>
      </c>
      <c r="AH16" s="8">
        <v>1.2459016393442623</v>
      </c>
      <c r="AI16" s="8">
        <v>1.3882120958374977</v>
      </c>
      <c r="AJ16" s="8">
        <v>1.2307440183546379</v>
      </c>
      <c r="AK16" s="8">
        <v>2.644634525660964</v>
      </c>
      <c r="AL16" s="8">
        <v>1.0998263888888888</v>
      </c>
      <c r="AM16" s="8">
        <v>1.2935680433310766</v>
      </c>
      <c r="AN16" s="8">
        <v>1.2061642061642062</v>
      </c>
      <c r="AO16" s="8">
        <v>1.7348738218303437</v>
      </c>
      <c r="AP16" s="8">
        <v>1.1759432200224131</v>
      </c>
      <c r="AQ16" s="8">
        <v>1.1707516339869282</v>
      </c>
      <c r="AR16" s="8">
        <v>1.666815144766147</v>
      </c>
      <c r="AS16" s="8">
        <v>1.1904967953051897</v>
      </c>
      <c r="AT16" s="8">
        <v>1.1609195402298851</v>
      </c>
      <c r="AU16" s="8">
        <v>1.177971947574155</v>
      </c>
      <c r="AV16" s="8">
        <v>1.2187127532777116</v>
      </c>
      <c r="AW16" s="8">
        <v>1.1818464407833384</v>
      </c>
      <c r="AX16" s="8">
        <v>1.1344842284739982</v>
      </c>
      <c r="AY16" s="8">
        <v>1.12940901658491</v>
      </c>
      <c r="AZ16" s="8">
        <v>1.2874074074074073</v>
      </c>
      <c r="BA16" s="8">
        <v>1.2384122287968442</v>
      </c>
      <c r="BB16" s="8">
        <v>1.1880904666475809</v>
      </c>
      <c r="BC16" s="8">
        <v>1.1587459842694139</v>
      </c>
      <c r="BD16" s="8">
        <v>1.1677877428998504</v>
      </c>
      <c r="BE16" s="8">
        <v>1.218872870249017</v>
      </c>
      <c r="BF16" s="8">
        <v>1.1277033985581875</v>
      </c>
      <c r="BG16" s="8">
        <v>1.1736049601417184</v>
      </c>
      <c r="BH16" s="8">
        <v>1.1153438352014542</v>
      </c>
      <c r="BI16" s="8">
        <v>1.1503789164121705</v>
      </c>
      <c r="BJ16" s="8">
        <v>1.1854584308537701</v>
      </c>
      <c r="BK16" s="8">
        <v>1.167319712659763</v>
      </c>
      <c r="BL16" s="8">
        <v>0.94703941656537594</v>
      </c>
      <c r="BM16" s="8">
        <v>1.1465161277453073</v>
      </c>
      <c r="BN16" s="8">
        <v>1.0909090909090908</v>
      </c>
      <c r="BO16" s="8">
        <v>1.1096157251638037</v>
      </c>
      <c r="BP16" s="8">
        <v>1.3498774509803921</v>
      </c>
      <c r="BQ16" s="8">
        <v>1.1679715950473415</v>
      </c>
      <c r="BR16" s="8">
        <v>1.287432600580672</v>
      </c>
      <c r="BS16" s="8">
        <v>1.1136391437308868</v>
      </c>
      <c r="BT16" s="8">
        <v>1.2002902757619738</v>
      </c>
      <c r="BU16" s="8">
        <v>1.1212050984936268</v>
      </c>
      <c r="BV16" s="8">
        <v>1.0964231558290964</v>
      </c>
      <c r="BW16" s="8">
        <v>0.75</v>
      </c>
      <c r="BX16" s="8">
        <v>1.4285714285714286</v>
      </c>
      <c r="BY16" s="8">
        <v>1.5454545454545454</v>
      </c>
      <c r="BZ16" s="8">
        <v>1.0665134099616858</v>
      </c>
      <c r="CA16" s="8">
        <v>1.1330444203683641</v>
      </c>
      <c r="CB16" s="8">
        <v>1.262747021808778</v>
      </c>
    </row>
    <row r="17" spans="1:80" x14ac:dyDescent="0.2">
      <c r="A17" t="s">
        <v>167</v>
      </c>
      <c r="B17" t="s">
        <v>168</v>
      </c>
      <c r="C17" s="8">
        <v>1.008504969771493</v>
      </c>
      <c r="D17" s="8">
        <v>1.2694610778443114</v>
      </c>
      <c r="E17" s="8">
        <v>0.96728971962616828</v>
      </c>
      <c r="F17" s="8">
        <v>1.1243781094527363</v>
      </c>
      <c r="G17" s="8">
        <v>0.91057574520212337</v>
      </c>
      <c r="H17" s="8">
        <v>1.0621581302834411</v>
      </c>
      <c r="I17" s="8">
        <v>1.0641795763515649</v>
      </c>
      <c r="J17" s="8">
        <v>1.0814159292035399</v>
      </c>
      <c r="K17" s="8">
        <v>1.0062353858144972</v>
      </c>
      <c r="L17" s="8">
        <v>0.86626506024096384</v>
      </c>
      <c r="M17" s="8">
        <v>0.99310854048732466</v>
      </c>
      <c r="N17" s="8">
        <v>0.91376623376623378</v>
      </c>
      <c r="O17" s="8">
        <v>0.92365930599369084</v>
      </c>
      <c r="P17" s="8">
        <v>0.8621700879765396</v>
      </c>
      <c r="Q17" s="8">
        <v>0.84483129163980231</v>
      </c>
      <c r="R17" s="8">
        <v>0.5</v>
      </c>
      <c r="S17" s="8">
        <v>0.88888888888888884</v>
      </c>
      <c r="T17" s="8">
        <v>0.8783783783783784</v>
      </c>
      <c r="U17" s="8">
        <v>0.58240997229916902</v>
      </c>
      <c r="V17" s="8">
        <v>0.76712328767123283</v>
      </c>
      <c r="W17" s="8">
        <v>0.95199999999999996</v>
      </c>
      <c r="X17" s="8">
        <v>0.79139072847682124</v>
      </c>
      <c r="Y17" s="8">
        <v>1.0783068783068783</v>
      </c>
      <c r="Z17" s="8">
        <v>1.0692395005675368</v>
      </c>
      <c r="AA17" s="8">
        <v>0.92166367808406524</v>
      </c>
      <c r="AB17" s="8">
        <v>0.81599999999999995</v>
      </c>
      <c r="AC17" s="8">
        <v>0.92278971144095145</v>
      </c>
      <c r="AD17" s="8">
        <v>0.83238636363636365</v>
      </c>
      <c r="AE17" s="8">
        <v>0.90310786106032903</v>
      </c>
      <c r="AF17" s="8">
        <v>1.2578125</v>
      </c>
      <c r="AG17" s="8">
        <v>0.84459459459459463</v>
      </c>
      <c r="AH17" s="8">
        <v>1.0263157894736843</v>
      </c>
      <c r="AI17" s="8">
        <v>0.83340143599322869</v>
      </c>
      <c r="AJ17" s="8">
        <v>0.72436750998668442</v>
      </c>
      <c r="AK17" s="8">
        <v>0.83210820346956782</v>
      </c>
      <c r="AL17" s="8">
        <v>0.90607734806629836</v>
      </c>
      <c r="AM17" s="8">
        <v>0.88977284622631636</v>
      </c>
      <c r="AN17" s="8">
        <v>1.1097272922482284</v>
      </c>
      <c r="AO17" s="8">
        <v>0.62407991587802314</v>
      </c>
      <c r="AP17" s="8">
        <v>0.86658195679796701</v>
      </c>
      <c r="AQ17" s="8">
        <v>0.94312630844382417</v>
      </c>
      <c r="AR17" s="8">
        <v>0.664484233030465</v>
      </c>
      <c r="AS17" s="8">
        <v>0.92319574748415534</v>
      </c>
      <c r="AT17" s="8">
        <v>0.87128712871287128</v>
      </c>
      <c r="AU17" s="8">
        <v>1.0128830763224672</v>
      </c>
      <c r="AV17" s="8">
        <v>0.84743276283618585</v>
      </c>
      <c r="AW17" s="8">
        <v>1.0065754865860073</v>
      </c>
      <c r="AX17" s="8">
        <v>0.80349427014841257</v>
      </c>
      <c r="AY17" s="8">
        <v>0.95243019648397109</v>
      </c>
      <c r="AZ17" s="8">
        <v>0.91024165707710014</v>
      </c>
      <c r="BA17" s="8">
        <v>0.8309775034839737</v>
      </c>
      <c r="BB17" s="8">
        <v>0.95718875502008027</v>
      </c>
      <c r="BC17" s="8">
        <v>1.1048757170172083</v>
      </c>
      <c r="BD17" s="8">
        <v>1.1788799999999999</v>
      </c>
      <c r="BE17" s="8">
        <v>1.1588235294117648</v>
      </c>
      <c r="BF17" s="8">
        <v>1.069406392694064</v>
      </c>
      <c r="BG17" s="8">
        <v>1.0491572327044025</v>
      </c>
      <c r="BH17" s="8">
        <v>0.85088612752088</v>
      </c>
      <c r="BI17" s="8">
        <v>0.9932648345705718</v>
      </c>
      <c r="BJ17" s="8">
        <v>1.0296150049358341</v>
      </c>
      <c r="BK17" s="8">
        <v>1.2571828171828172</v>
      </c>
      <c r="BL17" s="8">
        <v>1.0991932526585992</v>
      </c>
      <c r="BM17" s="8">
        <v>0.96906534901524111</v>
      </c>
      <c r="BN17" s="8">
        <v>0.91760299625468167</v>
      </c>
      <c r="BO17" s="8">
        <v>0.85157995531439512</v>
      </c>
      <c r="BP17" s="8">
        <v>1.0208806173399909</v>
      </c>
      <c r="BQ17" s="8">
        <v>0.94824226362148256</v>
      </c>
      <c r="BR17" s="8">
        <v>0.92976804123711343</v>
      </c>
      <c r="BS17" s="8">
        <v>1.0995166959578206</v>
      </c>
      <c r="BT17" s="8">
        <v>1.0483675937122128</v>
      </c>
      <c r="BU17" s="8">
        <v>0.9556634973129392</v>
      </c>
      <c r="BV17" s="8">
        <v>1.0230231044581841</v>
      </c>
      <c r="BW17" s="8">
        <v>2</v>
      </c>
      <c r="BX17" s="8">
        <v>0.82499999999999996</v>
      </c>
      <c r="BY17" s="8">
        <v>1.1176470588235294</v>
      </c>
      <c r="BZ17" s="8">
        <v>1.2307802845236384</v>
      </c>
      <c r="CA17" s="8">
        <v>0.74909160451329126</v>
      </c>
      <c r="CB17" s="8">
        <v>0.99248684658586772</v>
      </c>
    </row>
    <row r="18" spans="1:80" x14ac:dyDescent="0.2">
      <c r="A18" t="s">
        <v>247</v>
      </c>
      <c r="B18" t="s">
        <v>168</v>
      </c>
      <c r="C18" s="8">
        <v>1.1325441983336719</v>
      </c>
      <c r="D18" s="8">
        <v>0.94811320754716977</v>
      </c>
      <c r="E18" s="8">
        <v>1.2086956521739129</v>
      </c>
      <c r="F18" s="8">
        <v>0.95132743362831862</v>
      </c>
      <c r="G18" s="8">
        <v>1.0784753363228698</v>
      </c>
      <c r="H18" s="8">
        <v>1.1825842696629214</v>
      </c>
      <c r="I18" s="8">
        <v>1.1625074272133096</v>
      </c>
      <c r="J18" s="8">
        <v>1.1260229132569559</v>
      </c>
      <c r="K18" s="8">
        <v>1.2587141750580946</v>
      </c>
      <c r="L18" s="8">
        <v>1.1453407510431155</v>
      </c>
      <c r="M18" s="8">
        <v>1.1095415117719951</v>
      </c>
      <c r="N18" s="8">
        <v>0.95196134167140423</v>
      </c>
      <c r="O18" s="8">
        <v>0.99248633879781423</v>
      </c>
      <c r="P18" s="8">
        <v>0.75</v>
      </c>
      <c r="Q18" s="8">
        <v>1.0478249809208853</v>
      </c>
      <c r="R18" s="8">
        <v>3</v>
      </c>
      <c r="S18" s="8">
        <v>1.2583333333333333</v>
      </c>
      <c r="T18" s="8">
        <v>1.0846153846153845</v>
      </c>
      <c r="U18" s="8">
        <v>1.0903686087990487</v>
      </c>
      <c r="V18" s="8">
        <v>0.98571428571428577</v>
      </c>
      <c r="W18" s="8">
        <v>1.0168067226890756</v>
      </c>
      <c r="X18" s="8">
        <v>0.75732217573221761</v>
      </c>
      <c r="Y18" s="8">
        <v>1.1216879293424926</v>
      </c>
      <c r="Z18" s="8">
        <v>1.0679405520169851</v>
      </c>
      <c r="AA18" s="8">
        <v>0.93566470462152318</v>
      </c>
      <c r="AB18" s="8">
        <v>0.84967320261437906</v>
      </c>
      <c r="AC18" s="8">
        <v>0.93549461345055529</v>
      </c>
      <c r="AD18" s="8">
        <v>1.0443686006825939</v>
      </c>
      <c r="AE18" s="8">
        <v>1.2722672064777327</v>
      </c>
      <c r="AF18" s="8">
        <v>1.2670807453416149</v>
      </c>
      <c r="AG18" s="8">
        <v>1.2973333333333332</v>
      </c>
      <c r="AH18" s="8">
        <v>1</v>
      </c>
      <c r="AI18" s="8">
        <v>1.051388013354813</v>
      </c>
      <c r="AJ18" s="8">
        <v>1.0011029411764707</v>
      </c>
      <c r="AK18" s="8">
        <v>0.94805653710247351</v>
      </c>
      <c r="AL18" s="8">
        <v>1.1019163763066202</v>
      </c>
      <c r="AM18" s="8">
        <v>1.0007058823529411</v>
      </c>
      <c r="AN18" s="8">
        <v>1.0773993808049536</v>
      </c>
      <c r="AO18" s="8">
        <v>1.3063746138725076</v>
      </c>
      <c r="AP18" s="8">
        <v>1.0839442815249267</v>
      </c>
      <c r="AQ18" s="8">
        <v>1.0506844247132816</v>
      </c>
      <c r="AR18" s="8">
        <v>1.0731952543736176</v>
      </c>
      <c r="AS18" s="8">
        <v>1.07310531496063</v>
      </c>
      <c r="AT18" s="8">
        <v>0.85795454545454541</v>
      </c>
      <c r="AU18" s="8">
        <v>1.0701483908267488</v>
      </c>
      <c r="AV18" s="8">
        <v>1.0248124639353722</v>
      </c>
      <c r="AW18" s="8">
        <v>1.1000783903841129</v>
      </c>
      <c r="AX18" s="8">
        <v>1.0631283610007014</v>
      </c>
      <c r="AY18" s="8">
        <v>0.96872964169381104</v>
      </c>
      <c r="AZ18" s="8">
        <v>1.2541087231352719</v>
      </c>
      <c r="BA18" s="8">
        <v>1.0265931959750838</v>
      </c>
      <c r="BB18" s="8">
        <v>1.0637744398758078</v>
      </c>
      <c r="BC18" s="8">
        <v>1.0422889446511494</v>
      </c>
      <c r="BD18" s="8">
        <v>1.0761400651465798</v>
      </c>
      <c r="BE18" s="8">
        <v>0.83625347961355823</v>
      </c>
      <c r="BF18" s="8">
        <v>0.94022203245089664</v>
      </c>
      <c r="BG18" s="8">
        <v>1.1383560329944369</v>
      </c>
      <c r="BH18" s="8">
        <v>1.1892107573218418</v>
      </c>
      <c r="BI18" s="8">
        <v>0.99703029103147889</v>
      </c>
      <c r="BJ18" s="8">
        <v>1.1812080536912752</v>
      </c>
      <c r="BK18" s="8">
        <v>0.98574425479164685</v>
      </c>
      <c r="BL18" s="8">
        <v>1.2001668056713928</v>
      </c>
      <c r="BM18" s="8">
        <v>1.0648497253043196</v>
      </c>
      <c r="BN18" s="8">
        <v>1.0066326530612244</v>
      </c>
      <c r="BO18" s="8">
        <v>1.1233133433283358</v>
      </c>
      <c r="BP18" s="8">
        <v>0.98532681191640725</v>
      </c>
      <c r="BQ18" s="8">
        <v>1.0533497739416358</v>
      </c>
      <c r="BR18" s="8">
        <v>1.0214830214830215</v>
      </c>
      <c r="BS18" s="8">
        <v>1.0277722277722279</v>
      </c>
      <c r="BT18" s="8">
        <v>1.0430603613994618</v>
      </c>
      <c r="BU18" s="8">
        <v>1.1010057315886232</v>
      </c>
      <c r="BV18" s="8">
        <v>1.0711729622266402</v>
      </c>
      <c r="BW18" s="8">
        <v>0.16666666666666666</v>
      </c>
      <c r="BX18" s="8">
        <v>0.86363636363636365</v>
      </c>
      <c r="BY18" s="8">
        <v>0.94736842105263153</v>
      </c>
      <c r="BZ18" s="8">
        <v>1.1530647985989493</v>
      </c>
      <c r="CA18" s="8">
        <v>0.89685984171559863</v>
      </c>
      <c r="CB18" s="8">
        <v>1.0386692407500924</v>
      </c>
    </row>
    <row r="19" spans="1:80" x14ac:dyDescent="0.2">
      <c r="A19" t="s">
        <v>248</v>
      </c>
      <c r="B19" t="s">
        <v>168</v>
      </c>
      <c r="C19" s="8">
        <v>1.0996725429507019</v>
      </c>
      <c r="D19" s="8">
        <v>0.94527363184079605</v>
      </c>
      <c r="E19" s="8">
        <v>1.0007993605115908</v>
      </c>
      <c r="F19" s="8">
        <v>1.1860465116279071</v>
      </c>
      <c r="G19" s="8">
        <v>1.0594594594594595</v>
      </c>
      <c r="H19" s="8">
        <v>1.0364212193190816</v>
      </c>
      <c r="I19" s="8">
        <v>1.0575006388959878</v>
      </c>
      <c r="J19" s="8">
        <v>1.0392441860465116</v>
      </c>
      <c r="K19" s="8">
        <v>1.3876923076923078</v>
      </c>
      <c r="L19" s="8">
        <v>0.92167577413479052</v>
      </c>
      <c r="M19" s="8">
        <v>1.056734420370784</v>
      </c>
      <c r="N19" s="8">
        <v>1.0086593012839653</v>
      </c>
      <c r="O19" s="8">
        <v>1.002408809359945</v>
      </c>
      <c r="P19" s="8">
        <v>1.0498866213151927</v>
      </c>
      <c r="Q19" s="8">
        <v>1.283078417091527</v>
      </c>
      <c r="R19" s="8">
        <v>1.1666666666666667</v>
      </c>
      <c r="S19" s="8">
        <v>0.96026490066225167</v>
      </c>
      <c r="T19" s="8">
        <v>1.0070921985815602</v>
      </c>
      <c r="U19" s="8">
        <v>1.0392584514721919</v>
      </c>
      <c r="V19" s="8">
        <v>0.97826086956521741</v>
      </c>
      <c r="W19" s="8">
        <v>1.0495867768595042</v>
      </c>
      <c r="X19" s="8">
        <v>1.3287292817679559</v>
      </c>
      <c r="Y19" s="8">
        <v>1.8626421697287838</v>
      </c>
      <c r="Z19" s="8">
        <v>1.0238568588469186</v>
      </c>
      <c r="AA19" s="8">
        <v>0.93848349750656401</v>
      </c>
      <c r="AB19" s="8">
        <v>0.75769230769230766</v>
      </c>
      <c r="AC19" s="8">
        <v>0.93875371553672815</v>
      </c>
      <c r="AD19" s="8">
        <v>1.0359477124183007</v>
      </c>
      <c r="AE19" s="8">
        <v>1.0198886237072395</v>
      </c>
      <c r="AF19" s="8">
        <v>0.66176470588235292</v>
      </c>
      <c r="AG19" s="8">
        <v>1.0811921891058582</v>
      </c>
      <c r="AH19" s="8">
        <v>1.2051282051282051</v>
      </c>
      <c r="AI19" s="8">
        <v>1.0586915970865163</v>
      </c>
      <c r="AJ19" s="8">
        <v>1.0308483290488433</v>
      </c>
      <c r="AK19" s="8">
        <v>1.076407007081625</v>
      </c>
      <c r="AL19" s="8">
        <v>0.97549407114624509</v>
      </c>
      <c r="AM19" s="8">
        <v>1.0868798495179872</v>
      </c>
      <c r="AN19" s="8">
        <v>1.0492097701149425</v>
      </c>
      <c r="AO19" s="8">
        <v>1.098237317282889</v>
      </c>
      <c r="AP19" s="8">
        <v>0.94521474467365574</v>
      </c>
      <c r="AQ19" s="8">
        <v>1.0577464788732394</v>
      </c>
      <c r="AR19" s="8">
        <v>1.0312909874461307</v>
      </c>
      <c r="AS19" s="8">
        <v>1.0518447180757149</v>
      </c>
      <c r="AT19" s="8">
        <v>0.99337748344370858</v>
      </c>
      <c r="AU19" s="8">
        <v>1.0347559877543671</v>
      </c>
      <c r="AV19" s="8">
        <v>1.0579954954954955</v>
      </c>
      <c r="AW19" s="8">
        <v>0.97790973871733966</v>
      </c>
      <c r="AX19" s="8">
        <v>1.0400263910270509</v>
      </c>
      <c r="AY19" s="8">
        <v>1.047074646940148</v>
      </c>
      <c r="AZ19" s="8">
        <v>0.90120967741935487</v>
      </c>
      <c r="BA19" s="8">
        <v>1.3029171528588097</v>
      </c>
      <c r="BB19" s="8">
        <v>1.0760432278930345</v>
      </c>
      <c r="BC19" s="8">
        <v>1.0568389360548134</v>
      </c>
      <c r="BD19" s="8">
        <v>1.1203178206583428</v>
      </c>
      <c r="BE19" s="8">
        <v>0.95574701390248673</v>
      </c>
      <c r="BF19" s="8">
        <v>0.96094459582198</v>
      </c>
      <c r="BG19" s="8">
        <v>0.99578716771285336</v>
      </c>
      <c r="BH19" s="8">
        <v>1.2872768755871695</v>
      </c>
      <c r="BI19" s="8">
        <v>1.0785841938046068</v>
      </c>
      <c r="BJ19" s="8">
        <v>1.1576439864483343</v>
      </c>
      <c r="BK19" s="8">
        <v>0.95885530028214427</v>
      </c>
      <c r="BL19" s="8">
        <v>1.3267546907574705</v>
      </c>
      <c r="BM19" s="8">
        <v>1.0626875737649637</v>
      </c>
      <c r="BN19" s="8">
        <v>1.0192600101368474</v>
      </c>
      <c r="BO19" s="8">
        <v>1.0587253920587254</v>
      </c>
      <c r="BP19" s="8">
        <v>1.0040613718411553</v>
      </c>
      <c r="BQ19" s="8">
        <v>1.0223193382238176</v>
      </c>
      <c r="BR19" s="8">
        <v>1.0583446404341927</v>
      </c>
      <c r="BS19" s="8">
        <v>1.0525855365474339</v>
      </c>
      <c r="BT19" s="8">
        <v>1.0350165868042758</v>
      </c>
      <c r="BU19" s="8">
        <v>1.1094195069246635</v>
      </c>
      <c r="BV19" s="8">
        <v>1.9021529324424646</v>
      </c>
      <c r="BW19" s="8">
        <v>6</v>
      </c>
      <c r="BX19" s="8">
        <v>1.2456140350877194</v>
      </c>
      <c r="BY19" s="8">
        <v>1.2222222222222223</v>
      </c>
      <c r="BZ19" s="8">
        <v>2.0872823005265291</v>
      </c>
      <c r="CA19" s="8">
        <v>1.3959578707657272</v>
      </c>
      <c r="CB19" s="8">
        <v>1.0720980382578111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6AE0B5F033494B92506C89C30F3559" ma:contentTypeVersion="18" ma:contentTypeDescription="Create a new document." ma:contentTypeScope="" ma:versionID="1d4ffbf743adba2a3699f39996e27a93">
  <xsd:schema xmlns:xsd="http://www.w3.org/2001/XMLSchema" xmlns:xs="http://www.w3.org/2001/XMLSchema" xmlns:p="http://schemas.microsoft.com/office/2006/metadata/properties" xmlns:ns3="83f28f4c-1e3d-431a-898d-1dab18d2f25b" xmlns:ns4="5cf8a5a8-0301-4954-884c-1f222cf09767" targetNamespace="http://schemas.microsoft.com/office/2006/metadata/properties" ma:root="true" ma:fieldsID="9414e1fb3275c5992357a40c18a29d79" ns3:_="" ns4:_="">
    <xsd:import namespace="83f28f4c-1e3d-431a-898d-1dab18d2f25b"/>
    <xsd:import namespace="5cf8a5a8-0301-4954-884c-1f222cf0976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f28f4c-1e3d-431a-898d-1dab18d2f2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8a5a8-0301-4954-884c-1f222cf0976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f28f4c-1e3d-431a-898d-1dab18d2f25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4F7EAE-A7E3-4094-A390-CC1C9621C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f28f4c-1e3d-431a-898d-1dab18d2f25b"/>
    <ds:schemaRef ds:uri="5cf8a5a8-0301-4954-884c-1f222cf09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9906EB-8038-456D-8149-12C5297B8FFF}">
  <ds:schemaRefs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83f28f4c-1e3d-431a-898d-1dab18d2f25b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microsoft.com/office/infopath/2007/PartnerControls"/>
    <ds:schemaRef ds:uri="5cf8a5a8-0301-4954-884c-1f222cf09767"/>
  </ds:schemaRefs>
</ds:datastoreItem>
</file>

<file path=customXml/itemProps3.xml><?xml version="1.0" encoding="utf-8"?>
<ds:datastoreItem xmlns:ds="http://schemas.openxmlformats.org/officeDocument/2006/customXml" ds:itemID="{F20A5DE9-3089-4E5B-B8C8-D8A8136FBF3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Export-dataset</vt:lpstr>
      <vt:lpstr>Import-dataset</vt:lpstr>
      <vt:lpstr>Export statistical pattern</vt:lpstr>
      <vt:lpstr>Import statistical pattern</vt:lpstr>
      <vt:lpstr>Export Analytical pattern</vt:lpstr>
      <vt:lpstr>Import analytical pattern</vt:lpstr>
      <vt:lpstr>Dollar-combined</vt:lpstr>
      <vt:lpstr>Statistical-Combined</vt:lpstr>
      <vt:lpstr>Analytical-Combined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Jinson Zhang</dc:creator>
  <cp:lastModifiedBy>Bao Anh Nguyen</cp:lastModifiedBy>
  <dcterms:created xsi:type="dcterms:W3CDTF">2015-06-05T18:17:20Z</dcterms:created>
  <dcterms:modified xsi:type="dcterms:W3CDTF">2026-10-27T14:13:57Z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2024-02-07T04:42:17Z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676d51c1-3a19-4bfc-8f69-7d082db673a3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0x010100376AE0B5F033494B92506C89C30F3559</vt:lpwstr>
  </property>
</Properties>
</file>